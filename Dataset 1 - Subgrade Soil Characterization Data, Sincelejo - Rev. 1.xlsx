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TICULOS REVISTA DATA IN BRIEF\ARTICULO 1 - BASE DE DATOS SUELOS SINCELEJO\"/>
    </mc:Choice>
  </mc:AlternateContent>
  <bookViews>
    <workbookView xWindow="0" yWindow="0" windowWidth="28800" windowHeight="11835"/>
  </bookViews>
  <sheets>
    <sheet name="Dataset Properties Soils" sheetId="1" r:id="rId1"/>
    <sheet name="Tables and Charts" sheetId="2" r:id="rId2"/>
    <sheet name="Summary Tabl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H5" i="3"/>
  <c r="G5" i="3"/>
  <c r="F5" i="3"/>
  <c r="C8" i="2" l="1"/>
  <c r="D4" i="2" s="1"/>
  <c r="D3" i="2" l="1"/>
  <c r="D7" i="2"/>
  <c r="D6" i="2"/>
  <c r="D5" i="2"/>
  <c r="D8" i="2" l="1"/>
</calcChain>
</file>

<file path=xl/sharedStrings.xml><?xml version="1.0" encoding="utf-8"?>
<sst xmlns="http://schemas.openxmlformats.org/spreadsheetml/2006/main" count="354" uniqueCount="121">
  <si>
    <t>(cm)</t>
  </si>
  <si>
    <t>AASHTO</t>
  </si>
  <si>
    <t>(%)</t>
  </si>
  <si>
    <t>0,1"</t>
  </si>
  <si>
    <t>0,2"</t>
  </si>
  <si>
    <t>22,0 - 34,0</t>
  </si>
  <si>
    <t>A-7-5</t>
  </si>
  <si>
    <t xml:space="preserve">CH </t>
  </si>
  <si>
    <t>26,0 - 39,5</t>
  </si>
  <si>
    <t>A-5</t>
  </si>
  <si>
    <t xml:space="preserve">MH </t>
  </si>
  <si>
    <t>37,0 - 60,5</t>
  </si>
  <si>
    <t>CH</t>
  </si>
  <si>
    <t>23,5 - 39,5</t>
  </si>
  <si>
    <t>35,5 - 51,0</t>
  </si>
  <si>
    <t>52,0 - 74,5</t>
  </si>
  <si>
    <t>36,5 - 53,0</t>
  </si>
  <si>
    <t>A-7-6</t>
  </si>
  <si>
    <t>26,5 - 48,0</t>
  </si>
  <si>
    <t>31,5 - 46,5</t>
  </si>
  <si>
    <t>42,5 - 66,5</t>
  </si>
  <si>
    <t>41,0 - 59,5</t>
  </si>
  <si>
    <t>42,0 - 55,0</t>
  </si>
  <si>
    <t>58,0 - 73,5</t>
  </si>
  <si>
    <t>A-6</t>
  </si>
  <si>
    <t>SC</t>
  </si>
  <si>
    <t>24,0 - 37,5</t>
  </si>
  <si>
    <t>CL</t>
  </si>
  <si>
    <t>45,0 - 66,5</t>
  </si>
  <si>
    <t>41,0 - 58,0</t>
  </si>
  <si>
    <t>57,0 - 72,5</t>
  </si>
  <si>
    <t>39,5 - 58,5</t>
  </si>
  <si>
    <t>40,5 - 53,0</t>
  </si>
  <si>
    <t>38,0 - 55,5</t>
  </si>
  <si>
    <t>51,5 - 73,0</t>
  </si>
  <si>
    <t>34,0 - 48,5</t>
  </si>
  <si>
    <t>44,5 - 58,5</t>
  </si>
  <si>
    <t>40,5 - 55,0</t>
  </si>
  <si>
    <t>48,0 - 67,0</t>
  </si>
  <si>
    <t>33,0 - 51,0</t>
  </si>
  <si>
    <t>38,0 - 59,5</t>
  </si>
  <si>
    <t>34,0 - 48,0</t>
  </si>
  <si>
    <t>26,5 - 46,5</t>
  </si>
  <si>
    <t>52,0 - 67,5</t>
  </si>
  <si>
    <t>31,5 - 45,3</t>
  </si>
  <si>
    <t>38,0 - 55,0</t>
  </si>
  <si>
    <t>32,5 - 45,5</t>
  </si>
  <si>
    <t>48,0 - 63,5</t>
  </si>
  <si>
    <t>21,5 - 38,0</t>
  </si>
  <si>
    <t>MH</t>
  </si>
  <si>
    <t>29,0 - 43,5</t>
  </si>
  <si>
    <t>46,0 - 57,0</t>
  </si>
  <si>
    <t>A-4</t>
  </si>
  <si>
    <t>ML</t>
  </si>
  <si>
    <t>24,5 - 42,5</t>
  </si>
  <si>
    <t>31,5 - 44,5</t>
  </si>
  <si>
    <t>23,5 - 45,5</t>
  </si>
  <si>
    <t>22,0 - 37,5</t>
  </si>
  <si>
    <t>30,0 - 46,0</t>
  </si>
  <si>
    <t>19,5 - 34,0</t>
  </si>
  <si>
    <t>34,0 - 50,0</t>
  </si>
  <si>
    <t>15,0 - 28,0</t>
  </si>
  <si>
    <t>16,0 - 34,5</t>
  </si>
  <si>
    <t>3/8"</t>
  </si>
  <si>
    <t>No. 4</t>
  </si>
  <si>
    <t>No.10</t>
  </si>
  <si>
    <t>No.40</t>
  </si>
  <si>
    <t>No. 200</t>
  </si>
  <si>
    <t>-</t>
  </si>
  <si>
    <t>SUCS</t>
  </si>
  <si>
    <t>(g/cm³)</t>
  </si>
  <si>
    <t>Lean clay</t>
  </si>
  <si>
    <t>Clayey sand</t>
  </si>
  <si>
    <t>Limit</t>
  </si>
  <si>
    <t>Liquid</t>
  </si>
  <si>
    <t>Plastic</t>
  </si>
  <si>
    <t>Plasticity</t>
  </si>
  <si>
    <t>Index</t>
  </si>
  <si>
    <t>Description</t>
  </si>
  <si>
    <t>Sample</t>
  </si>
  <si>
    <t>Min. CBR</t>
  </si>
  <si>
    <t>Californian Bearing Ratio test results</t>
  </si>
  <si>
    <t>&lt;2</t>
  </si>
  <si>
    <t>Total</t>
  </si>
  <si>
    <t>[2-4)</t>
  </si>
  <si>
    <t>[4-6)</t>
  </si>
  <si>
    <t>[6-8)</t>
  </si>
  <si>
    <t>≥8</t>
  </si>
  <si>
    <t>Lean clay (CL)</t>
  </si>
  <si>
    <t>Clayey sand (SC)</t>
  </si>
  <si>
    <t>Soil</t>
  </si>
  <si>
    <t>(mm/blow)</t>
  </si>
  <si>
    <t>Correlation</t>
  </si>
  <si>
    <t>Depth</t>
  </si>
  <si>
    <t>%</t>
  </si>
  <si>
    <t>Fat clay (CH)</t>
  </si>
  <si>
    <t>Elastic silt (MH)</t>
  </si>
  <si>
    <t>Fat clay</t>
  </si>
  <si>
    <t>Elastic silt</t>
  </si>
  <si>
    <t>Silt</t>
  </si>
  <si>
    <t>Silt (ML)</t>
  </si>
  <si>
    <t>Soil classification</t>
  </si>
  <si>
    <t>Number of samples</t>
  </si>
  <si>
    <t>Percentage</t>
  </si>
  <si>
    <t>CBR values range</t>
  </si>
  <si>
    <t>Classification</t>
  </si>
  <si>
    <t>CBR values</t>
  </si>
  <si>
    <t>Natural</t>
  </si>
  <si>
    <t>moisture</t>
  </si>
  <si>
    <t>content (%)</t>
  </si>
  <si>
    <t>Ɣh</t>
  </si>
  <si>
    <t>Ɣd</t>
  </si>
  <si>
    <t>Soil Unit Weights</t>
  </si>
  <si>
    <t>Pan</t>
  </si>
  <si>
    <t>Particle Size Analysis of Soils (weight retained in grams)</t>
  </si>
  <si>
    <t>Initial
Weight</t>
  </si>
  <si>
    <t>Soil Description</t>
  </si>
  <si>
    <t>Dynamic Cone Penetration Index</t>
  </si>
  <si>
    <t>DCPI values</t>
  </si>
  <si>
    <t>Moisture</t>
  </si>
  <si>
    <t>Content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</si>
</sst>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0" xfId="0" applyFont="1"/>
    <xf numFmtId="1" fontId="6" fillId="0" borderId="0" xfId="0" applyNumberFormat="1" applyFont="1" applyFill="1" applyBorder="1" applyAlignment="1">
      <alignment horizontal="center" vertical="center"/>
    </xf>
    <xf numFmtId="164" fontId="0" fillId="0" borderId="0" xfId="0" applyNumberFormat="1"/>
    <xf numFmtId="2" fontId="1" fillId="2" borderId="8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9" fontId="7" fillId="0" borderId="0" xfId="1" applyNumberFormat="1" applyFont="1" applyBorder="1" applyAlignment="1">
      <alignment horizontal="center"/>
    </xf>
    <xf numFmtId="9" fontId="7" fillId="0" borderId="16" xfId="1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'Tables and Charts'!$B$20:$B$24</c:f>
              <c:strCache>
                <c:ptCount val="5"/>
                <c:pt idx="0">
                  <c:v>&lt;2</c:v>
                </c:pt>
                <c:pt idx="1">
                  <c:v>[2-4)</c:v>
                </c:pt>
                <c:pt idx="2">
                  <c:v>[4-6)</c:v>
                </c:pt>
                <c:pt idx="3">
                  <c:v>[6-8)</c:v>
                </c:pt>
                <c:pt idx="4">
                  <c:v>≥8</c:v>
                </c:pt>
              </c:strCache>
            </c:strRef>
          </c:cat>
          <c:val>
            <c:numRef>
              <c:f>'Tables and Charts'!$C$20:$C$24</c:f>
              <c:numCache>
                <c:formatCode>General</c:formatCode>
                <c:ptCount val="5"/>
                <c:pt idx="0">
                  <c:v>3</c:v>
                </c:pt>
                <c:pt idx="1">
                  <c:v>16</c:v>
                </c:pt>
                <c:pt idx="2">
                  <c:v>18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76778352"/>
        <c:axId val="476770736"/>
      </c:barChart>
      <c:catAx>
        <c:axId val="47677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/>
                  <a:t>CBR values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476770736"/>
        <c:crosses val="autoZero"/>
        <c:auto val="1"/>
        <c:lblAlgn val="ctr"/>
        <c:lblOffset val="100"/>
        <c:noMultiLvlLbl val="0"/>
      </c:catAx>
      <c:valAx>
        <c:axId val="4767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47677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'Tables and Charts'!$B$3:$B$7</c:f>
              <c:strCache>
                <c:ptCount val="5"/>
                <c:pt idx="0">
                  <c:v>Fat clay (CH)</c:v>
                </c:pt>
                <c:pt idx="1">
                  <c:v>Lean clay (CL)</c:v>
                </c:pt>
                <c:pt idx="2">
                  <c:v>Elastic silt (MH)</c:v>
                </c:pt>
                <c:pt idx="3">
                  <c:v>Silt (ML)</c:v>
                </c:pt>
                <c:pt idx="4">
                  <c:v>Clayey sand (SC)</c:v>
                </c:pt>
              </c:strCache>
            </c:strRef>
          </c:cat>
          <c:val>
            <c:numRef>
              <c:f>'Tables and Charts'!$D$3:$D$7</c:f>
              <c:numCache>
                <c:formatCode>0%</c:formatCode>
                <c:ptCount val="5"/>
                <c:pt idx="0">
                  <c:v>0.56521739130434778</c:v>
                </c:pt>
                <c:pt idx="1">
                  <c:v>8.6956521739130432E-2</c:v>
                </c:pt>
                <c:pt idx="2">
                  <c:v>0.28260869565217389</c:v>
                </c:pt>
                <c:pt idx="3">
                  <c:v>2.1739130434782608E-2</c:v>
                </c:pt>
                <c:pt idx="4">
                  <c:v>4.3478260869565216E-2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17</xdr:row>
      <xdr:rowOff>185737</xdr:rowOff>
    </xdr:from>
    <xdr:to>
      <xdr:col>11</xdr:col>
      <xdr:colOff>9525</xdr:colOff>
      <xdr:row>32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</xdr:row>
      <xdr:rowOff>9525</xdr:rowOff>
    </xdr:from>
    <xdr:to>
      <xdr:col>11</xdr:col>
      <xdr:colOff>9525</xdr:colOff>
      <xdr:row>15</xdr:row>
      <xdr:rowOff>19050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0"/>
  <sheetViews>
    <sheetView tabSelected="1" workbookViewId="0"/>
  </sheetViews>
  <sheetFormatPr baseColWidth="10" defaultRowHeight="15" x14ac:dyDescent="0.25"/>
  <cols>
    <col min="1" max="1" width="3" customWidth="1"/>
    <col min="3" max="3" width="12.140625" bestFit="1" customWidth="1"/>
    <col min="6" max="6" width="12.28515625" bestFit="1" customWidth="1"/>
    <col min="14" max="15" width="12.7109375" bestFit="1" customWidth="1"/>
    <col min="16" max="16" width="12.28515625" customWidth="1"/>
    <col min="17" max="17" width="12.7109375" customWidth="1"/>
    <col min="23" max="23" width="18.5703125" customWidth="1"/>
  </cols>
  <sheetData>
    <row r="1" spans="2:26" ht="15.75" thickBot="1" x14ac:dyDescent="0.3"/>
    <row r="2" spans="2:26" ht="15.75" thickBot="1" x14ac:dyDescent="0.3">
      <c r="B2" s="43" t="s">
        <v>79</v>
      </c>
      <c r="C2" s="1" t="s">
        <v>92</v>
      </c>
      <c r="D2" s="46" t="s">
        <v>114</v>
      </c>
      <c r="E2" s="47"/>
      <c r="F2" s="47"/>
      <c r="G2" s="47"/>
      <c r="H2" s="47"/>
      <c r="I2" s="47"/>
      <c r="J2" s="48"/>
      <c r="K2" s="24" t="s">
        <v>74</v>
      </c>
      <c r="L2" s="24" t="s">
        <v>75</v>
      </c>
      <c r="M2" s="24" t="s">
        <v>76</v>
      </c>
      <c r="N2" s="1" t="s">
        <v>1</v>
      </c>
      <c r="O2" s="10" t="s">
        <v>69</v>
      </c>
      <c r="P2" s="37" t="s">
        <v>90</v>
      </c>
      <c r="Q2" s="37" t="s">
        <v>107</v>
      </c>
      <c r="R2" s="46" t="s">
        <v>112</v>
      </c>
      <c r="S2" s="58"/>
      <c r="T2" s="52" t="s">
        <v>81</v>
      </c>
      <c r="U2" s="53"/>
      <c r="V2" s="54"/>
      <c r="W2" s="50" t="s">
        <v>117</v>
      </c>
    </row>
    <row r="3" spans="2:26" ht="15.75" thickBot="1" x14ac:dyDescent="0.3">
      <c r="B3" s="44"/>
      <c r="C3" s="27" t="s">
        <v>93</v>
      </c>
      <c r="D3" s="49" t="s">
        <v>115</v>
      </c>
      <c r="E3" s="11" t="s">
        <v>63</v>
      </c>
      <c r="F3" s="11" t="s">
        <v>64</v>
      </c>
      <c r="G3" s="11" t="s">
        <v>65</v>
      </c>
      <c r="H3" s="11" t="s">
        <v>66</v>
      </c>
      <c r="I3" s="11" t="s">
        <v>67</v>
      </c>
      <c r="J3" s="11" t="s">
        <v>113</v>
      </c>
      <c r="K3" s="25" t="s">
        <v>73</v>
      </c>
      <c r="L3" s="25" t="s">
        <v>73</v>
      </c>
      <c r="M3" s="25" t="s">
        <v>77</v>
      </c>
      <c r="N3" s="2" t="s">
        <v>90</v>
      </c>
      <c r="O3" s="2" t="s">
        <v>90</v>
      </c>
      <c r="P3" s="27" t="s">
        <v>78</v>
      </c>
      <c r="Q3" s="27" t="s">
        <v>108</v>
      </c>
      <c r="R3" s="2" t="s">
        <v>110</v>
      </c>
      <c r="S3" s="5" t="s">
        <v>111</v>
      </c>
      <c r="T3" s="55" t="s">
        <v>2</v>
      </c>
      <c r="U3" s="56"/>
      <c r="V3" s="57"/>
      <c r="W3" s="51"/>
    </row>
    <row r="4" spans="2:26" ht="15.75" thickBot="1" x14ac:dyDescent="0.3">
      <c r="B4" s="45"/>
      <c r="C4" s="3" t="s">
        <v>0</v>
      </c>
      <c r="D4" s="45"/>
      <c r="E4" s="11">
        <v>9.5</v>
      </c>
      <c r="F4" s="11">
        <v>4.75</v>
      </c>
      <c r="G4" s="23">
        <v>2</v>
      </c>
      <c r="H4" s="11">
        <v>0.42499999999999999</v>
      </c>
      <c r="I4" s="11">
        <v>7.4999999999999997E-2</v>
      </c>
      <c r="J4" s="11" t="s">
        <v>68</v>
      </c>
      <c r="K4" s="26" t="s">
        <v>2</v>
      </c>
      <c r="L4" s="26" t="s">
        <v>2</v>
      </c>
      <c r="M4" s="26" t="s">
        <v>2</v>
      </c>
      <c r="N4" s="38" t="s">
        <v>105</v>
      </c>
      <c r="O4" s="38" t="s">
        <v>105</v>
      </c>
      <c r="P4" s="4"/>
      <c r="Q4" s="39" t="s">
        <v>109</v>
      </c>
      <c r="R4" s="39" t="s">
        <v>70</v>
      </c>
      <c r="S4" s="39" t="s">
        <v>70</v>
      </c>
      <c r="T4" s="3" t="s">
        <v>3</v>
      </c>
      <c r="U4" s="3" t="s">
        <v>4</v>
      </c>
      <c r="V4" s="6" t="s">
        <v>80</v>
      </c>
      <c r="W4" s="28" t="s">
        <v>91</v>
      </c>
      <c r="X4" s="20"/>
    </row>
    <row r="5" spans="2:26" ht="16.5" thickBot="1" x14ac:dyDescent="0.3">
      <c r="B5" s="7">
        <v>1</v>
      </c>
      <c r="C5" s="8" t="s">
        <v>5</v>
      </c>
      <c r="D5" s="9">
        <v>200</v>
      </c>
      <c r="E5" s="9">
        <v>0</v>
      </c>
      <c r="F5" s="9">
        <v>0</v>
      </c>
      <c r="G5" s="15">
        <v>0.2</v>
      </c>
      <c r="H5" s="15">
        <v>1.9</v>
      </c>
      <c r="I5" s="15">
        <v>6.7</v>
      </c>
      <c r="J5" s="15">
        <v>191.2</v>
      </c>
      <c r="K5" s="15">
        <v>75.900000000000006</v>
      </c>
      <c r="L5" s="15">
        <v>35.799999999999997</v>
      </c>
      <c r="M5" s="15">
        <v>40.100000000000009</v>
      </c>
      <c r="N5" s="9" t="s">
        <v>6</v>
      </c>
      <c r="O5" s="9" t="s">
        <v>7</v>
      </c>
      <c r="P5" s="9" t="s">
        <v>97</v>
      </c>
      <c r="Q5" s="15">
        <v>29</v>
      </c>
      <c r="R5" s="41">
        <v>1.71</v>
      </c>
      <c r="S5" s="41">
        <v>1.3255813953488371</v>
      </c>
      <c r="T5" s="17">
        <v>2.8</v>
      </c>
      <c r="U5" s="17">
        <v>3.2</v>
      </c>
      <c r="V5" s="18">
        <v>2.8</v>
      </c>
      <c r="W5" s="15">
        <v>60</v>
      </c>
      <c r="X5" s="21"/>
      <c r="Y5" s="22"/>
      <c r="Z5" s="22"/>
    </row>
    <row r="6" spans="2:26" ht="16.5" thickBot="1" x14ac:dyDescent="0.3">
      <c r="B6" s="7">
        <v>2</v>
      </c>
      <c r="C6" s="8" t="s">
        <v>8</v>
      </c>
      <c r="D6" s="9">
        <v>300</v>
      </c>
      <c r="E6" s="9">
        <v>0</v>
      </c>
      <c r="F6" s="9">
        <v>0</v>
      </c>
      <c r="G6" s="9">
        <v>0</v>
      </c>
      <c r="H6" s="15">
        <v>0.4</v>
      </c>
      <c r="I6" s="15">
        <v>1.6</v>
      </c>
      <c r="J6" s="15">
        <v>298</v>
      </c>
      <c r="K6" s="15">
        <v>56.4</v>
      </c>
      <c r="L6" s="15">
        <v>54.9</v>
      </c>
      <c r="M6" s="15">
        <v>1.5</v>
      </c>
      <c r="N6" s="9" t="s">
        <v>9</v>
      </c>
      <c r="O6" s="9" t="s">
        <v>10</v>
      </c>
      <c r="P6" s="9" t="s">
        <v>98</v>
      </c>
      <c r="Q6" s="15">
        <v>15.1</v>
      </c>
      <c r="R6" s="41">
        <v>1.91</v>
      </c>
      <c r="S6" s="41">
        <v>1.6594265855777584</v>
      </c>
      <c r="T6" s="17">
        <v>8.6</v>
      </c>
      <c r="U6" s="17">
        <v>8.3000000000000007</v>
      </c>
      <c r="V6" s="18">
        <v>8.3000000000000007</v>
      </c>
      <c r="W6" s="15">
        <v>22.5</v>
      </c>
      <c r="X6" s="21"/>
      <c r="Y6" s="22"/>
      <c r="Z6" s="22"/>
    </row>
    <row r="7" spans="2:26" ht="16.5" thickBot="1" x14ac:dyDescent="0.3">
      <c r="B7" s="7">
        <v>3</v>
      </c>
      <c r="C7" s="8" t="s">
        <v>11</v>
      </c>
      <c r="D7" s="9">
        <v>200</v>
      </c>
      <c r="E7" s="9">
        <v>0</v>
      </c>
      <c r="F7" s="9">
        <v>0</v>
      </c>
      <c r="G7" s="9">
        <v>0</v>
      </c>
      <c r="H7" s="15">
        <v>0.4</v>
      </c>
      <c r="I7" s="15">
        <v>2</v>
      </c>
      <c r="J7" s="15">
        <v>197.6</v>
      </c>
      <c r="K7" s="15">
        <v>74.099999999999994</v>
      </c>
      <c r="L7" s="15">
        <v>33.6</v>
      </c>
      <c r="M7" s="15">
        <v>40.499999999999993</v>
      </c>
      <c r="N7" s="9" t="s">
        <v>6</v>
      </c>
      <c r="O7" s="9" t="s">
        <v>12</v>
      </c>
      <c r="P7" s="9" t="s">
        <v>97</v>
      </c>
      <c r="Q7" s="15">
        <v>21.3</v>
      </c>
      <c r="R7" s="41">
        <v>1.87</v>
      </c>
      <c r="S7" s="41">
        <v>1.5416323165704864</v>
      </c>
      <c r="T7" s="17">
        <v>3.4</v>
      </c>
      <c r="U7" s="17">
        <v>3</v>
      </c>
      <c r="V7" s="18">
        <v>3</v>
      </c>
      <c r="W7" s="15">
        <v>78</v>
      </c>
      <c r="X7" s="21"/>
      <c r="Y7" s="22"/>
      <c r="Z7" s="22"/>
    </row>
    <row r="8" spans="2:26" ht="16.5" thickBot="1" x14ac:dyDescent="0.3">
      <c r="B8" s="7">
        <v>4</v>
      </c>
      <c r="C8" s="8" t="s">
        <v>13</v>
      </c>
      <c r="D8" s="9">
        <v>200</v>
      </c>
      <c r="E8" s="9">
        <v>0</v>
      </c>
      <c r="F8" s="9">
        <v>0</v>
      </c>
      <c r="G8" s="9">
        <v>0</v>
      </c>
      <c r="H8" s="15">
        <v>0.8</v>
      </c>
      <c r="I8" s="15">
        <v>5.0999999999999996</v>
      </c>
      <c r="J8" s="15">
        <v>194.1</v>
      </c>
      <c r="K8" s="15">
        <v>64.8</v>
      </c>
      <c r="L8" s="15">
        <v>34</v>
      </c>
      <c r="M8" s="15">
        <v>30.799999999999997</v>
      </c>
      <c r="N8" s="9" t="s">
        <v>6</v>
      </c>
      <c r="O8" s="9" t="s">
        <v>10</v>
      </c>
      <c r="P8" s="9" t="s">
        <v>98</v>
      </c>
      <c r="Q8" s="15">
        <v>23.5</v>
      </c>
      <c r="R8" s="41">
        <v>1.78</v>
      </c>
      <c r="S8" s="41">
        <v>1.4412955465587045</v>
      </c>
      <c r="T8" s="17">
        <v>7.6</v>
      </c>
      <c r="U8" s="17">
        <v>7</v>
      </c>
      <c r="V8" s="18">
        <v>7</v>
      </c>
      <c r="W8" s="15">
        <v>32.4</v>
      </c>
      <c r="X8" s="21"/>
      <c r="Y8" s="22"/>
      <c r="Z8" s="22"/>
    </row>
    <row r="9" spans="2:26" ht="16.5" thickBot="1" x14ac:dyDescent="0.3">
      <c r="B9" s="7">
        <v>5</v>
      </c>
      <c r="C9" s="8" t="s">
        <v>14</v>
      </c>
      <c r="D9" s="9">
        <v>200</v>
      </c>
      <c r="E9" s="9">
        <v>0</v>
      </c>
      <c r="F9" s="9">
        <v>0</v>
      </c>
      <c r="G9" s="9">
        <v>0.1</v>
      </c>
      <c r="H9" s="15">
        <v>0.5</v>
      </c>
      <c r="I9" s="15">
        <v>2.5</v>
      </c>
      <c r="J9" s="15">
        <v>196.9</v>
      </c>
      <c r="K9" s="15">
        <v>89.6</v>
      </c>
      <c r="L9" s="15">
        <v>40.5</v>
      </c>
      <c r="M9" s="15">
        <v>49.099999999999994</v>
      </c>
      <c r="N9" s="9" t="s">
        <v>6</v>
      </c>
      <c r="O9" s="9" t="s">
        <v>7</v>
      </c>
      <c r="P9" s="9" t="s">
        <v>97</v>
      </c>
      <c r="Q9" s="15">
        <v>37.6</v>
      </c>
      <c r="R9" s="41">
        <v>1.79</v>
      </c>
      <c r="S9" s="41">
        <v>1.300872093023256</v>
      </c>
      <c r="T9" s="17">
        <v>5.9</v>
      </c>
      <c r="U9" s="17">
        <v>5.2</v>
      </c>
      <c r="V9" s="18">
        <v>5.2</v>
      </c>
      <c r="W9" s="15">
        <v>30.7</v>
      </c>
      <c r="X9" s="21"/>
      <c r="Y9" s="22"/>
      <c r="Z9" s="22"/>
    </row>
    <row r="10" spans="2:26" ht="16.5" thickBot="1" x14ac:dyDescent="0.3">
      <c r="B10" s="7">
        <v>6</v>
      </c>
      <c r="C10" s="8" t="s">
        <v>15</v>
      </c>
      <c r="D10" s="9">
        <v>200</v>
      </c>
      <c r="E10" s="9">
        <v>0</v>
      </c>
      <c r="F10" s="9">
        <v>0</v>
      </c>
      <c r="G10" s="9">
        <v>1.3</v>
      </c>
      <c r="H10" s="15">
        <v>4.4000000000000004</v>
      </c>
      <c r="I10" s="15">
        <v>13.1</v>
      </c>
      <c r="J10" s="15">
        <v>181.2</v>
      </c>
      <c r="K10" s="15">
        <v>73.7</v>
      </c>
      <c r="L10" s="15">
        <v>38.299999999999997</v>
      </c>
      <c r="M10" s="15">
        <v>35.400000000000006</v>
      </c>
      <c r="N10" s="9" t="s">
        <v>6</v>
      </c>
      <c r="O10" s="9" t="s">
        <v>10</v>
      </c>
      <c r="P10" s="9" t="s">
        <v>98</v>
      </c>
      <c r="Q10" s="15">
        <v>35.5</v>
      </c>
      <c r="R10" s="41">
        <v>1.8</v>
      </c>
      <c r="S10" s="41">
        <v>1.3284132841328413</v>
      </c>
      <c r="T10" s="15">
        <v>3.4</v>
      </c>
      <c r="U10" s="15">
        <v>3.4</v>
      </c>
      <c r="V10" s="18">
        <v>3.4</v>
      </c>
      <c r="W10" s="15">
        <v>74</v>
      </c>
      <c r="X10" s="21"/>
      <c r="Y10" s="22"/>
      <c r="Z10" s="22"/>
    </row>
    <row r="11" spans="2:26" ht="16.5" thickBot="1" x14ac:dyDescent="0.3">
      <c r="B11" s="7">
        <v>7</v>
      </c>
      <c r="C11" s="8" t="s">
        <v>16</v>
      </c>
      <c r="D11" s="9">
        <v>200</v>
      </c>
      <c r="E11" s="9">
        <v>0</v>
      </c>
      <c r="F11" s="9">
        <v>0</v>
      </c>
      <c r="G11" s="9">
        <v>0</v>
      </c>
      <c r="H11" s="15">
        <v>0.7</v>
      </c>
      <c r="I11" s="15">
        <v>4.2</v>
      </c>
      <c r="J11" s="15">
        <v>195.1</v>
      </c>
      <c r="K11" s="15">
        <v>63.2</v>
      </c>
      <c r="L11" s="15">
        <v>28.9</v>
      </c>
      <c r="M11" s="15">
        <v>34.300000000000004</v>
      </c>
      <c r="N11" s="9" t="s">
        <v>17</v>
      </c>
      <c r="O11" s="9" t="s">
        <v>7</v>
      </c>
      <c r="P11" s="9" t="s">
        <v>97</v>
      </c>
      <c r="Q11" s="15">
        <v>27.5</v>
      </c>
      <c r="R11" s="41">
        <v>1.78</v>
      </c>
      <c r="S11" s="41">
        <v>1.3960784313725492</v>
      </c>
      <c r="T11" s="17">
        <v>2.7</v>
      </c>
      <c r="U11" s="17">
        <v>3.5</v>
      </c>
      <c r="V11" s="18">
        <v>2.7</v>
      </c>
      <c r="W11" s="15">
        <v>54.5</v>
      </c>
      <c r="X11" s="21"/>
      <c r="Y11" s="22"/>
      <c r="Z11" s="22"/>
    </row>
    <row r="12" spans="2:26" ht="16.5" thickBot="1" x14ac:dyDescent="0.3">
      <c r="B12" s="7">
        <v>8</v>
      </c>
      <c r="C12" s="8" t="s">
        <v>18</v>
      </c>
      <c r="D12" s="9">
        <v>200</v>
      </c>
      <c r="E12" s="9">
        <v>0</v>
      </c>
      <c r="F12" s="9">
        <v>0.2</v>
      </c>
      <c r="G12" s="9">
        <v>0.3</v>
      </c>
      <c r="H12" s="15">
        <v>1.4</v>
      </c>
      <c r="I12" s="15">
        <v>4.7</v>
      </c>
      <c r="J12" s="15">
        <v>193.4</v>
      </c>
      <c r="K12" s="15">
        <v>66.599999999999994</v>
      </c>
      <c r="L12" s="15">
        <v>36.6</v>
      </c>
      <c r="M12" s="15">
        <v>29.999999999999993</v>
      </c>
      <c r="N12" s="9" t="s">
        <v>6</v>
      </c>
      <c r="O12" s="9" t="s">
        <v>10</v>
      </c>
      <c r="P12" s="9" t="s">
        <v>98</v>
      </c>
      <c r="Q12" s="15">
        <v>27.5</v>
      </c>
      <c r="R12" s="41">
        <v>1.79</v>
      </c>
      <c r="S12" s="41">
        <v>1.4039215686274511</v>
      </c>
      <c r="T12" s="15">
        <v>2.8</v>
      </c>
      <c r="U12" s="15">
        <v>2.8</v>
      </c>
      <c r="V12" s="18">
        <v>2.8</v>
      </c>
      <c r="W12" s="15">
        <v>72</v>
      </c>
      <c r="X12" s="21"/>
      <c r="Y12" s="22"/>
      <c r="Z12" s="22"/>
    </row>
    <row r="13" spans="2:26" ht="16.5" thickBot="1" x14ac:dyDescent="0.3">
      <c r="B13" s="7">
        <v>9</v>
      </c>
      <c r="C13" s="8" t="s">
        <v>19</v>
      </c>
      <c r="D13" s="9">
        <v>200</v>
      </c>
      <c r="E13" s="9">
        <v>0</v>
      </c>
      <c r="F13" s="9">
        <v>0</v>
      </c>
      <c r="G13" s="9">
        <v>0.1</v>
      </c>
      <c r="H13" s="15">
        <v>0.4</v>
      </c>
      <c r="I13" s="15">
        <v>4.0999999999999996</v>
      </c>
      <c r="J13" s="15">
        <v>195.4</v>
      </c>
      <c r="K13" s="15">
        <v>74.8</v>
      </c>
      <c r="L13" s="15">
        <v>44.6</v>
      </c>
      <c r="M13" s="15">
        <v>30.199999999999996</v>
      </c>
      <c r="N13" s="9" t="s">
        <v>6</v>
      </c>
      <c r="O13" s="9" t="s">
        <v>10</v>
      </c>
      <c r="P13" s="9" t="s">
        <v>98</v>
      </c>
      <c r="Q13" s="15">
        <v>27.2</v>
      </c>
      <c r="R13" s="41">
        <v>1.61</v>
      </c>
      <c r="S13" s="41">
        <v>1.2657232704402517</v>
      </c>
      <c r="T13" s="17">
        <v>4.8</v>
      </c>
      <c r="U13" s="17">
        <v>6.3</v>
      </c>
      <c r="V13" s="18">
        <v>4.8</v>
      </c>
      <c r="W13" s="15">
        <v>20.399999999999999</v>
      </c>
      <c r="X13" s="21"/>
      <c r="Y13" s="22"/>
      <c r="Z13" s="22"/>
    </row>
    <row r="14" spans="2:26" ht="16.5" thickBot="1" x14ac:dyDescent="0.3">
      <c r="B14" s="7">
        <v>10</v>
      </c>
      <c r="C14" s="8" t="s">
        <v>20</v>
      </c>
      <c r="D14" s="9">
        <v>200</v>
      </c>
      <c r="E14" s="9">
        <v>0</v>
      </c>
      <c r="F14" s="9">
        <v>0</v>
      </c>
      <c r="G14" s="9">
        <v>0.1</v>
      </c>
      <c r="H14" s="15">
        <v>0.3</v>
      </c>
      <c r="I14" s="15">
        <v>1.9</v>
      </c>
      <c r="J14" s="15">
        <v>197.7</v>
      </c>
      <c r="K14" s="15">
        <v>69.599999999999994</v>
      </c>
      <c r="L14" s="15">
        <v>25.3</v>
      </c>
      <c r="M14" s="15">
        <v>44.3</v>
      </c>
      <c r="N14" s="9" t="s">
        <v>17</v>
      </c>
      <c r="O14" s="9" t="s">
        <v>12</v>
      </c>
      <c r="P14" s="9" t="s">
        <v>97</v>
      </c>
      <c r="Q14" s="15">
        <v>36.700000000000003</v>
      </c>
      <c r="R14" s="41">
        <v>1.81</v>
      </c>
      <c r="S14" s="41">
        <v>1.3240673006583761</v>
      </c>
      <c r="T14" s="17">
        <v>2.2999999999999998</v>
      </c>
      <c r="U14" s="17">
        <v>1.9</v>
      </c>
      <c r="V14" s="18">
        <v>1.9</v>
      </c>
      <c r="W14" s="15">
        <v>120</v>
      </c>
      <c r="X14" s="21"/>
      <c r="Y14" s="22"/>
      <c r="Z14" s="22"/>
    </row>
    <row r="15" spans="2:26" ht="16.5" thickBot="1" x14ac:dyDescent="0.3">
      <c r="B15" s="7">
        <v>11</v>
      </c>
      <c r="C15" s="8" t="s">
        <v>21</v>
      </c>
      <c r="D15" s="9">
        <v>200</v>
      </c>
      <c r="E15" s="9">
        <v>0</v>
      </c>
      <c r="F15" s="9">
        <v>0</v>
      </c>
      <c r="G15" s="9">
        <v>0.1</v>
      </c>
      <c r="H15" s="15">
        <v>2.1</v>
      </c>
      <c r="I15" s="15">
        <v>5.5</v>
      </c>
      <c r="J15" s="15">
        <v>192.3</v>
      </c>
      <c r="K15" s="15">
        <v>55.4</v>
      </c>
      <c r="L15" s="15">
        <v>29</v>
      </c>
      <c r="M15" s="15">
        <v>26.4</v>
      </c>
      <c r="N15" s="9" t="s">
        <v>17</v>
      </c>
      <c r="O15" s="9" t="s">
        <v>12</v>
      </c>
      <c r="P15" s="9" t="s">
        <v>97</v>
      </c>
      <c r="Q15" s="15">
        <v>18.8</v>
      </c>
      <c r="R15" s="41">
        <v>1.59</v>
      </c>
      <c r="S15" s="41">
        <v>1.3383838383838385</v>
      </c>
      <c r="T15" s="17">
        <v>3.4</v>
      </c>
      <c r="U15" s="17">
        <v>3.4</v>
      </c>
      <c r="V15" s="18">
        <v>3.4</v>
      </c>
      <c r="W15" s="15">
        <v>61.5</v>
      </c>
      <c r="X15" s="21"/>
      <c r="Y15" s="22"/>
      <c r="Z15" s="22"/>
    </row>
    <row r="16" spans="2:26" ht="16.5" thickBot="1" x14ac:dyDescent="0.3">
      <c r="B16" s="7">
        <v>12</v>
      </c>
      <c r="C16" s="8" t="s">
        <v>22</v>
      </c>
      <c r="D16" s="9">
        <v>200</v>
      </c>
      <c r="E16" s="9">
        <v>0</v>
      </c>
      <c r="F16" s="9">
        <v>0</v>
      </c>
      <c r="G16" s="9">
        <v>0</v>
      </c>
      <c r="H16" s="15">
        <v>0.6</v>
      </c>
      <c r="I16" s="15">
        <v>2.7</v>
      </c>
      <c r="J16" s="15">
        <v>196.7</v>
      </c>
      <c r="K16" s="15">
        <v>63.5</v>
      </c>
      <c r="L16" s="15">
        <v>28.6</v>
      </c>
      <c r="M16" s="15">
        <v>34.9</v>
      </c>
      <c r="N16" s="9" t="s">
        <v>17</v>
      </c>
      <c r="O16" s="9" t="s">
        <v>12</v>
      </c>
      <c r="P16" s="9" t="s">
        <v>97</v>
      </c>
      <c r="Q16" s="15">
        <v>19.3</v>
      </c>
      <c r="R16" s="41">
        <v>2.09</v>
      </c>
      <c r="S16" s="41">
        <v>1.7518860016764457</v>
      </c>
      <c r="T16" s="17">
        <v>4.2</v>
      </c>
      <c r="U16" s="17">
        <v>5.0999999999999996</v>
      </c>
      <c r="V16" s="18">
        <v>4.2</v>
      </c>
      <c r="W16" s="15">
        <v>43</v>
      </c>
      <c r="X16" s="21"/>
      <c r="Y16" s="22"/>
      <c r="Z16" s="22"/>
    </row>
    <row r="17" spans="2:26" ht="16.5" thickBot="1" x14ac:dyDescent="0.3">
      <c r="B17" s="7">
        <v>13</v>
      </c>
      <c r="C17" s="8" t="s">
        <v>23</v>
      </c>
      <c r="D17" s="9">
        <v>200</v>
      </c>
      <c r="E17" s="9">
        <v>0</v>
      </c>
      <c r="F17" s="9">
        <v>18.600000000000001</v>
      </c>
      <c r="G17" s="9">
        <v>19.2</v>
      </c>
      <c r="H17" s="15">
        <v>32.299999999999997</v>
      </c>
      <c r="I17" s="15">
        <v>55.7</v>
      </c>
      <c r="J17" s="15">
        <v>74.2</v>
      </c>
      <c r="K17" s="15">
        <v>32.5</v>
      </c>
      <c r="L17" s="15">
        <v>11.5</v>
      </c>
      <c r="M17" s="15">
        <v>21</v>
      </c>
      <c r="N17" s="9" t="s">
        <v>24</v>
      </c>
      <c r="O17" s="9" t="s">
        <v>25</v>
      </c>
      <c r="P17" s="9" t="s">
        <v>72</v>
      </c>
      <c r="Q17" s="15">
        <v>13.8</v>
      </c>
      <c r="R17" s="41">
        <v>2.08</v>
      </c>
      <c r="S17" s="41">
        <v>1.8277680140597541</v>
      </c>
      <c r="T17" s="15">
        <v>4.3</v>
      </c>
      <c r="U17" s="15">
        <v>4.8</v>
      </c>
      <c r="V17" s="18">
        <v>4.3</v>
      </c>
      <c r="W17" s="15">
        <v>51.5</v>
      </c>
      <c r="X17" s="21"/>
      <c r="Y17" s="22"/>
      <c r="Z17" s="22"/>
    </row>
    <row r="18" spans="2:26" ht="16.5" thickBot="1" x14ac:dyDescent="0.3">
      <c r="B18" s="7">
        <v>14</v>
      </c>
      <c r="C18" s="8" t="s">
        <v>26</v>
      </c>
      <c r="D18" s="9">
        <v>200</v>
      </c>
      <c r="E18" s="9">
        <v>0</v>
      </c>
      <c r="F18" s="9">
        <v>0</v>
      </c>
      <c r="G18" s="9">
        <v>0.1</v>
      </c>
      <c r="H18" s="15">
        <v>10</v>
      </c>
      <c r="I18" s="15">
        <v>49.3</v>
      </c>
      <c r="J18" s="15">
        <v>140.6</v>
      </c>
      <c r="K18" s="15">
        <v>37.4</v>
      </c>
      <c r="L18" s="15">
        <v>15.2</v>
      </c>
      <c r="M18" s="15">
        <v>22.2</v>
      </c>
      <c r="N18" s="9" t="s">
        <v>24</v>
      </c>
      <c r="O18" s="9" t="s">
        <v>27</v>
      </c>
      <c r="P18" s="9" t="s">
        <v>71</v>
      </c>
      <c r="Q18" s="15">
        <v>13.1</v>
      </c>
      <c r="R18" s="41">
        <v>1.99</v>
      </c>
      <c r="S18" s="41">
        <v>1.7595048629531389</v>
      </c>
      <c r="T18" s="15">
        <v>6.1</v>
      </c>
      <c r="U18" s="15">
        <v>6</v>
      </c>
      <c r="V18" s="18">
        <v>6</v>
      </c>
      <c r="W18" s="15">
        <v>34</v>
      </c>
      <c r="X18" s="21"/>
      <c r="Y18" s="22"/>
      <c r="Z18" s="22"/>
    </row>
    <row r="19" spans="2:26" ht="16.5" thickBot="1" x14ac:dyDescent="0.3">
      <c r="B19" s="7">
        <v>15</v>
      </c>
      <c r="C19" s="8" t="s">
        <v>28</v>
      </c>
      <c r="D19" s="9">
        <v>200</v>
      </c>
      <c r="E19" s="9">
        <v>0</v>
      </c>
      <c r="F19" s="9">
        <v>0</v>
      </c>
      <c r="G19" s="9">
        <v>0.1</v>
      </c>
      <c r="H19" s="15">
        <v>0.9</v>
      </c>
      <c r="I19" s="15">
        <v>3.5</v>
      </c>
      <c r="J19" s="15">
        <v>195.5</v>
      </c>
      <c r="K19" s="15">
        <v>87.5</v>
      </c>
      <c r="L19" s="15">
        <v>44.4</v>
      </c>
      <c r="M19" s="15">
        <v>43.1</v>
      </c>
      <c r="N19" s="9" t="s">
        <v>6</v>
      </c>
      <c r="O19" s="9" t="s">
        <v>10</v>
      </c>
      <c r="P19" s="9" t="s">
        <v>98</v>
      </c>
      <c r="Q19" s="15">
        <v>28.1</v>
      </c>
      <c r="R19" s="41">
        <v>1.82</v>
      </c>
      <c r="S19" s="41">
        <v>1.4207650273224042</v>
      </c>
      <c r="T19" s="15">
        <v>2.7</v>
      </c>
      <c r="U19" s="15">
        <v>2.6</v>
      </c>
      <c r="V19" s="18">
        <v>2.6</v>
      </c>
      <c r="W19" s="15">
        <v>107.5</v>
      </c>
      <c r="X19" s="21"/>
      <c r="Y19" s="22"/>
      <c r="Z19" s="22"/>
    </row>
    <row r="20" spans="2:26" ht="16.5" thickBot="1" x14ac:dyDescent="0.3">
      <c r="B20" s="7">
        <v>16</v>
      </c>
      <c r="C20" s="8" t="s">
        <v>29</v>
      </c>
      <c r="D20" s="9">
        <v>200</v>
      </c>
      <c r="E20" s="9">
        <v>0</v>
      </c>
      <c r="F20" s="9">
        <v>0</v>
      </c>
      <c r="G20" s="9">
        <v>0</v>
      </c>
      <c r="H20" s="15">
        <v>1.6</v>
      </c>
      <c r="I20" s="15">
        <v>20</v>
      </c>
      <c r="J20" s="15">
        <v>178.4</v>
      </c>
      <c r="K20" s="15">
        <v>70.2</v>
      </c>
      <c r="L20" s="15">
        <v>34.6</v>
      </c>
      <c r="M20" s="15">
        <v>35.6</v>
      </c>
      <c r="N20" s="9" t="s">
        <v>6</v>
      </c>
      <c r="O20" s="9" t="s">
        <v>12</v>
      </c>
      <c r="P20" s="9" t="s">
        <v>97</v>
      </c>
      <c r="Q20" s="15">
        <v>26.3</v>
      </c>
      <c r="R20" s="41">
        <v>1.81</v>
      </c>
      <c r="S20" s="41">
        <v>1.4330958036421222</v>
      </c>
      <c r="T20" s="15">
        <v>4.8</v>
      </c>
      <c r="U20" s="15">
        <v>4</v>
      </c>
      <c r="V20" s="18">
        <v>4</v>
      </c>
      <c r="W20" s="15">
        <v>55</v>
      </c>
      <c r="X20" s="21"/>
      <c r="Y20" s="22"/>
      <c r="Z20" s="22"/>
    </row>
    <row r="21" spans="2:26" ht="16.5" thickBot="1" x14ac:dyDescent="0.3">
      <c r="B21" s="7">
        <v>17</v>
      </c>
      <c r="C21" s="8" t="s">
        <v>30</v>
      </c>
      <c r="D21" s="9">
        <v>200</v>
      </c>
      <c r="E21" s="9">
        <v>0</v>
      </c>
      <c r="F21" s="9">
        <v>0</v>
      </c>
      <c r="G21" s="9">
        <v>0</v>
      </c>
      <c r="H21" s="15">
        <v>1.5</v>
      </c>
      <c r="I21" s="15">
        <v>11.2</v>
      </c>
      <c r="J21" s="15">
        <v>187.3</v>
      </c>
      <c r="K21" s="15">
        <v>60.3</v>
      </c>
      <c r="L21" s="15">
        <v>33.700000000000003</v>
      </c>
      <c r="M21" s="15">
        <v>26.599999999999994</v>
      </c>
      <c r="N21" s="9" t="s">
        <v>6</v>
      </c>
      <c r="O21" s="9" t="s">
        <v>10</v>
      </c>
      <c r="P21" s="9" t="s">
        <v>98</v>
      </c>
      <c r="Q21" s="15">
        <v>20.5</v>
      </c>
      <c r="R21" s="41">
        <v>1.79</v>
      </c>
      <c r="S21" s="41">
        <v>1.4854771784232366</v>
      </c>
      <c r="T21" s="15">
        <v>6.3</v>
      </c>
      <c r="U21" s="15">
        <v>5</v>
      </c>
      <c r="V21" s="18">
        <v>5</v>
      </c>
      <c r="W21" s="15">
        <v>51.5</v>
      </c>
      <c r="X21" s="21"/>
      <c r="Y21" s="22"/>
      <c r="Z21" s="22"/>
    </row>
    <row r="22" spans="2:26" ht="16.5" thickBot="1" x14ac:dyDescent="0.3">
      <c r="B22" s="7">
        <v>18</v>
      </c>
      <c r="C22" s="8" t="s">
        <v>31</v>
      </c>
      <c r="D22" s="9">
        <v>200</v>
      </c>
      <c r="E22" s="9">
        <v>0</v>
      </c>
      <c r="F22" s="9">
        <v>0.7</v>
      </c>
      <c r="G22" s="9">
        <v>2.2000000000000002</v>
      </c>
      <c r="H22" s="15">
        <v>9.1</v>
      </c>
      <c r="I22" s="15">
        <v>14</v>
      </c>
      <c r="J22" s="15">
        <v>174</v>
      </c>
      <c r="K22" s="15">
        <v>70.8</v>
      </c>
      <c r="L22" s="15">
        <v>29.8</v>
      </c>
      <c r="M22" s="15">
        <v>41</v>
      </c>
      <c r="N22" s="9" t="s">
        <v>17</v>
      </c>
      <c r="O22" s="9" t="s">
        <v>12</v>
      </c>
      <c r="P22" s="9" t="s">
        <v>97</v>
      </c>
      <c r="Q22" s="15">
        <v>26.2</v>
      </c>
      <c r="R22" s="41">
        <v>2.09</v>
      </c>
      <c r="S22" s="41">
        <v>1.6561014263074483</v>
      </c>
      <c r="T22" s="17">
        <v>9.3000000000000007</v>
      </c>
      <c r="U22" s="17">
        <v>8.6999999999999993</v>
      </c>
      <c r="V22" s="18">
        <v>8.6999999999999993</v>
      </c>
      <c r="W22" s="15">
        <v>37.6</v>
      </c>
      <c r="X22" s="21"/>
      <c r="Y22" s="22"/>
      <c r="Z22" s="22"/>
    </row>
    <row r="23" spans="2:26" ht="16.5" thickBot="1" x14ac:dyDescent="0.3">
      <c r="B23" s="7">
        <v>19</v>
      </c>
      <c r="C23" s="8" t="s">
        <v>32</v>
      </c>
      <c r="D23" s="9">
        <v>200</v>
      </c>
      <c r="E23" s="9">
        <v>0</v>
      </c>
      <c r="F23" s="9">
        <v>1.7</v>
      </c>
      <c r="G23" s="9">
        <v>2.6</v>
      </c>
      <c r="H23" s="15">
        <v>7.1</v>
      </c>
      <c r="I23" s="15">
        <v>27.8</v>
      </c>
      <c r="J23" s="15">
        <v>160.80000000000001</v>
      </c>
      <c r="K23" s="15">
        <v>61.7</v>
      </c>
      <c r="L23" s="15">
        <v>24.4</v>
      </c>
      <c r="M23" s="15">
        <v>37.300000000000004</v>
      </c>
      <c r="N23" s="9" t="s">
        <v>17</v>
      </c>
      <c r="O23" s="9" t="s">
        <v>7</v>
      </c>
      <c r="P23" s="9" t="s">
        <v>97</v>
      </c>
      <c r="Q23" s="15">
        <v>30.8</v>
      </c>
      <c r="R23" s="41">
        <v>1.81</v>
      </c>
      <c r="S23" s="41">
        <v>1.3837920489296636</v>
      </c>
      <c r="T23" s="15">
        <v>5.2</v>
      </c>
      <c r="U23" s="15">
        <v>4.0999999999999996</v>
      </c>
      <c r="V23" s="18">
        <v>4.0999999999999996</v>
      </c>
      <c r="W23" s="15">
        <v>62.5</v>
      </c>
      <c r="X23" s="21"/>
      <c r="Y23" s="22"/>
      <c r="Z23" s="22"/>
    </row>
    <row r="24" spans="2:26" ht="16.5" thickBot="1" x14ac:dyDescent="0.3">
      <c r="B24" s="7">
        <v>20</v>
      </c>
      <c r="C24" s="8" t="s">
        <v>33</v>
      </c>
      <c r="D24" s="9">
        <v>200</v>
      </c>
      <c r="E24" s="9">
        <v>1.7</v>
      </c>
      <c r="F24" s="9">
        <v>2.6</v>
      </c>
      <c r="G24" s="9">
        <v>3.5</v>
      </c>
      <c r="H24" s="15">
        <v>15.8</v>
      </c>
      <c r="I24" s="15">
        <v>39.299999999999997</v>
      </c>
      <c r="J24" s="15">
        <v>137.1</v>
      </c>
      <c r="K24" s="15">
        <v>40</v>
      </c>
      <c r="L24" s="15">
        <v>20.5</v>
      </c>
      <c r="M24" s="15">
        <v>19.5</v>
      </c>
      <c r="N24" s="9" t="s">
        <v>24</v>
      </c>
      <c r="O24" s="9" t="s">
        <v>27</v>
      </c>
      <c r="P24" s="9" t="s">
        <v>71</v>
      </c>
      <c r="Q24" s="15">
        <v>26.8</v>
      </c>
      <c r="R24" s="41">
        <v>1.62</v>
      </c>
      <c r="S24" s="41">
        <v>1.277602523659306</v>
      </c>
      <c r="T24" s="15">
        <v>4.3</v>
      </c>
      <c r="U24" s="15">
        <v>3.8</v>
      </c>
      <c r="V24" s="18">
        <v>3.8</v>
      </c>
      <c r="W24" s="15">
        <v>58</v>
      </c>
      <c r="X24" s="21"/>
      <c r="Y24" s="22"/>
      <c r="Z24" s="22"/>
    </row>
    <row r="25" spans="2:26" ht="16.5" thickBot="1" x14ac:dyDescent="0.3">
      <c r="B25" s="7">
        <v>21</v>
      </c>
      <c r="C25" s="8" t="s">
        <v>34</v>
      </c>
      <c r="D25" s="9">
        <v>500</v>
      </c>
      <c r="E25" s="9">
        <v>0</v>
      </c>
      <c r="F25" s="9">
        <v>0</v>
      </c>
      <c r="G25" s="9">
        <v>0.7</v>
      </c>
      <c r="H25" s="15">
        <v>2.1</v>
      </c>
      <c r="I25" s="15">
        <v>59.8</v>
      </c>
      <c r="J25" s="15">
        <v>437.4</v>
      </c>
      <c r="K25" s="15">
        <v>52</v>
      </c>
      <c r="L25" s="15">
        <v>24.3</v>
      </c>
      <c r="M25" s="15">
        <v>27.7</v>
      </c>
      <c r="N25" s="9" t="s">
        <v>17</v>
      </c>
      <c r="O25" s="9" t="s">
        <v>12</v>
      </c>
      <c r="P25" s="9" t="s">
        <v>97</v>
      </c>
      <c r="Q25" s="15">
        <v>23.6</v>
      </c>
      <c r="R25" s="41">
        <v>2.1</v>
      </c>
      <c r="S25" s="41">
        <v>1.6990291262135924</v>
      </c>
      <c r="T25" s="17">
        <v>4.9000000000000004</v>
      </c>
      <c r="U25" s="17">
        <v>4</v>
      </c>
      <c r="V25" s="18">
        <v>4</v>
      </c>
      <c r="W25" s="15">
        <v>71</v>
      </c>
      <c r="X25" s="21"/>
      <c r="Y25" s="22"/>
      <c r="Z25" s="22"/>
    </row>
    <row r="26" spans="2:26" ht="16.5" thickBot="1" x14ac:dyDescent="0.3">
      <c r="B26" s="7">
        <v>22</v>
      </c>
      <c r="C26" s="8" t="s">
        <v>35</v>
      </c>
      <c r="D26" s="9">
        <v>300</v>
      </c>
      <c r="E26" s="9">
        <v>0</v>
      </c>
      <c r="F26" s="9">
        <v>0</v>
      </c>
      <c r="G26" s="9">
        <v>0.5</v>
      </c>
      <c r="H26" s="15">
        <v>1.3</v>
      </c>
      <c r="I26" s="15">
        <v>40.1</v>
      </c>
      <c r="J26" s="15">
        <v>258.10000000000002</v>
      </c>
      <c r="K26" s="15">
        <v>50.3</v>
      </c>
      <c r="L26" s="15">
        <v>29.1</v>
      </c>
      <c r="M26" s="15">
        <v>21.199999999999996</v>
      </c>
      <c r="N26" s="9" t="s">
        <v>17</v>
      </c>
      <c r="O26" s="9" t="s">
        <v>12</v>
      </c>
      <c r="P26" s="9" t="s">
        <v>97</v>
      </c>
      <c r="Q26" s="15">
        <v>28.9</v>
      </c>
      <c r="R26" s="41">
        <v>1.79</v>
      </c>
      <c r="S26" s="41">
        <v>1.3886733902249808</v>
      </c>
      <c r="T26" s="15">
        <v>3.4</v>
      </c>
      <c r="U26" s="15">
        <v>2.8</v>
      </c>
      <c r="V26" s="18">
        <v>2.8</v>
      </c>
      <c r="W26" s="15">
        <v>72.5</v>
      </c>
      <c r="X26" s="21"/>
      <c r="Y26" s="22"/>
      <c r="Z26" s="22"/>
    </row>
    <row r="27" spans="2:26" ht="16.5" thickBot="1" x14ac:dyDescent="0.3">
      <c r="B27" s="7">
        <v>23</v>
      </c>
      <c r="C27" s="8" t="s">
        <v>36</v>
      </c>
      <c r="D27" s="9">
        <v>500</v>
      </c>
      <c r="E27" s="9">
        <v>0</v>
      </c>
      <c r="F27" s="9">
        <v>0</v>
      </c>
      <c r="G27" s="9">
        <v>0</v>
      </c>
      <c r="H27" s="15">
        <v>2.8</v>
      </c>
      <c r="I27" s="15">
        <v>97.3</v>
      </c>
      <c r="J27" s="15">
        <v>399.9</v>
      </c>
      <c r="K27" s="15">
        <v>59.8</v>
      </c>
      <c r="L27" s="15">
        <v>22.5</v>
      </c>
      <c r="M27" s="15">
        <v>37.299999999999997</v>
      </c>
      <c r="N27" s="9" t="s">
        <v>17</v>
      </c>
      <c r="O27" s="9" t="s">
        <v>12</v>
      </c>
      <c r="P27" s="9" t="s">
        <v>97</v>
      </c>
      <c r="Q27" s="15">
        <v>24.6</v>
      </c>
      <c r="R27" s="41">
        <v>1.59</v>
      </c>
      <c r="S27" s="41">
        <v>1.2760834670947032</v>
      </c>
      <c r="T27" s="17">
        <v>10.3</v>
      </c>
      <c r="U27" s="17">
        <v>8.8000000000000007</v>
      </c>
      <c r="V27" s="18">
        <v>8.8000000000000007</v>
      </c>
      <c r="W27" s="15">
        <v>46</v>
      </c>
      <c r="X27" s="21"/>
      <c r="Y27" s="22"/>
      <c r="Z27" s="22"/>
    </row>
    <row r="28" spans="2:26" ht="16.5" thickBot="1" x14ac:dyDescent="0.3">
      <c r="B28" s="12">
        <v>24</v>
      </c>
      <c r="C28" s="13" t="s">
        <v>37</v>
      </c>
      <c r="D28" s="9">
        <v>500</v>
      </c>
      <c r="E28" s="9">
        <v>0</v>
      </c>
      <c r="F28" s="9">
        <v>0</v>
      </c>
      <c r="G28" s="9">
        <v>0</v>
      </c>
      <c r="H28" s="9">
        <v>0</v>
      </c>
      <c r="I28" s="15">
        <v>13.9</v>
      </c>
      <c r="J28" s="15">
        <v>486.1</v>
      </c>
      <c r="K28" s="16">
        <v>70.5</v>
      </c>
      <c r="L28" s="16">
        <v>34.299999999999997</v>
      </c>
      <c r="M28" s="16">
        <v>36.200000000000003</v>
      </c>
      <c r="N28" s="14" t="s">
        <v>6</v>
      </c>
      <c r="O28" s="14" t="s">
        <v>12</v>
      </c>
      <c r="P28" s="9" t="s">
        <v>97</v>
      </c>
      <c r="Q28" s="16">
        <v>23.6</v>
      </c>
      <c r="R28" s="42">
        <v>2.02</v>
      </c>
      <c r="S28" s="42">
        <v>1.6343042071197411</v>
      </c>
      <c r="T28" s="16">
        <v>5.3</v>
      </c>
      <c r="U28" s="16">
        <v>4.5</v>
      </c>
      <c r="V28" s="19">
        <v>4.5</v>
      </c>
      <c r="W28" s="16">
        <v>48.5</v>
      </c>
      <c r="X28" s="21"/>
      <c r="Y28" s="22"/>
      <c r="Z28" s="22"/>
    </row>
    <row r="29" spans="2:26" ht="16.5" thickBot="1" x14ac:dyDescent="0.3">
      <c r="B29" s="7">
        <v>25</v>
      </c>
      <c r="C29" s="8" t="s">
        <v>38</v>
      </c>
      <c r="D29" s="9">
        <v>370</v>
      </c>
      <c r="E29" s="9">
        <v>0</v>
      </c>
      <c r="F29" s="9">
        <v>0</v>
      </c>
      <c r="G29" s="9">
        <v>0.3</v>
      </c>
      <c r="H29" s="15">
        <v>0.9</v>
      </c>
      <c r="I29" s="15">
        <v>35.299999999999997</v>
      </c>
      <c r="J29" s="15">
        <v>333.5</v>
      </c>
      <c r="K29" s="15">
        <v>53.2</v>
      </c>
      <c r="L29" s="15">
        <v>29.3</v>
      </c>
      <c r="M29" s="15">
        <v>23.900000000000002</v>
      </c>
      <c r="N29" s="9" t="s">
        <v>17</v>
      </c>
      <c r="O29" s="9" t="s">
        <v>12</v>
      </c>
      <c r="P29" s="9" t="s">
        <v>97</v>
      </c>
      <c r="Q29" s="15">
        <v>19.100000000000001</v>
      </c>
      <c r="R29" s="41">
        <v>1.71</v>
      </c>
      <c r="S29" s="41">
        <v>1.4357682619647354</v>
      </c>
      <c r="T29" s="17">
        <v>1.8</v>
      </c>
      <c r="U29" s="17">
        <v>1.6</v>
      </c>
      <c r="V29" s="18">
        <v>1.6</v>
      </c>
      <c r="W29" s="15">
        <v>95</v>
      </c>
      <c r="X29" s="21"/>
      <c r="Y29" s="22"/>
      <c r="Z29" s="22"/>
    </row>
    <row r="30" spans="2:26" ht="16.5" thickBot="1" x14ac:dyDescent="0.3">
      <c r="B30" s="7">
        <v>26</v>
      </c>
      <c r="C30" s="8" t="s">
        <v>39</v>
      </c>
      <c r="D30" s="9">
        <v>500</v>
      </c>
      <c r="E30" s="9">
        <v>0</v>
      </c>
      <c r="F30" s="9">
        <v>0</v>
      </c>
      <c r="G30" s="9">
        <v>0</v>
      </c>
      <c r="H30" s="9">
        <v>0</v>
      </c>
      <c r="I30" s="15">
        <v>4.4000000000000004</v>
      </c>
      <c r="J30" s="15">
        <v>495.6</v>
      </c>
      <c r="K30" s="15">
        <v>71.400000000000006</v>
      </c>
      <c r="L30" s="15">
        <v>34.5</v>
      </c>
      <c r="M30" s="15">
        <v>36.900000000000006</v>
      </c>
      <c r="N30" s="9" t="s">
        <v>6</v>
      </c>
      <c r="O30" s="9" t="s">
        <v>12</v>
      </c>
      <c r="P30" s="9" t="s">
        <v>97</v>
      </c>
      <c r="Q30" s="15">
        <v>16.399999999999999</v>
      </c>
      <c r="R30" s="41">
        <v>1.52</v>
      </c>
      <c r="S30" s="41">
        <v>1.3058419243986255</v>
      </c>
      <c r="T30" s="17">
        <v>4.5</v>
      </c>
      <c r="U30" s="15">
        <v>4.0999999999999996</v>
      </c>
      <c r="V30" s="18">
        <v>4.0999999999999996</v>
      </c>
      <c r="W30" s="15">
        <v>45</v>
      </c>
      <c r="X30" s="21"/>
      <c r="Y30" s="22"/>
      <c r="Z30" s="22"/>
    </row>
    <row r="31" spans="2:26" ht="16.5" thickBot="1" x14ac:dyDescent="0.3">
      <c r="B31" s="7">
        <v>27</v>
      </c>
      <c r="C31" s="8" t="s">
        <v>40</v>
      </c>
      <c r="D31" s="9">
        <v>346</v>
      </c>
      <c r="E31" s="9">
        <v>0</v>
      </c>
      <c r="F31" s="9">
        <v>0</v>
      </c>
      <c r="G31" s="9">
        <v>0</v>
      </c>
      <c r="H31" s="9">
        <v>0</v>
      </c>
      <c r="I31" s="15">
        <v>1.3</v>
      </c>
      <c r="J31" s="15">
        <v>344.7</v>
      </c>
      <c r="K31" s="15">
        <v>63</v>
      </c>
      <c r="L31" s="15">
        <v>29.5</v>
      </c>
      <c r="M31" s="15">
        <v>33.5</v>
      </c>
      <c r="N31" s="9" t="s">
        <v>17</v>
      </c>
      <c r="O31" s="9" t="s">
        <v>12</v>
      </c>
      <c r="P31" s="9" t="s">
        <v>97</v>
      </c>
      <c r="Q31" s="15">
        <v>18.8</v>
      </c>
      <c r="R31" s="41">
        <v>2.21</v>
      </c>
      <c r="S31" s="41">
        <v>1.8602693602693603</v>
      </c>
      <c r="T31" s="15">
        <v>3.6</v>
      </c>
      <c r="U31" s="15">
        <v>3.1</v>
      </c>
      <c r="V31" s="18">
        <v>3.1</v>
      </c>
      <c r="W31" s="15">
        <v>72</v>
      </c>
      <c r="X31" s="21"/>
      <c r="Y31" s="22"/>
      <c r="Z31" s="22"/>
    </row>
    <row r="32" spans="2:26" ht="16.5" thickBot="1" x14ac:dyDescent="0.3">
      <c r="B32" s="7">
        <v>28</v>
      </c>
      <c r="C32" s="8" t="s">
        <v>41</v>
      </c>
      <c r="D32" s="9">
        <v>500</v>
      </c>
      <c r="E32" s="9">
        <v>0</v>
      </c>
      <c r="F32" s="9">
        <v>0</v>
      </c>
      <c r="G32" s="9">
        <v>0.5</v>
      </c>
      <c r="H32" s="15">
        <v>1.9</v>
      </c>
      <c r="I32" s="15">
        <v>127.3</v>
      </c>
      <c r="J32" s="15">
        <v>370.3</v>
      </c>
      <c r="K32" s="15">
        <v>43.6</v>
      </c>
      <c r="L32" s="15">
        <v>17.899999999999999</v>
      </c>
      <c r="M32" s="15">
        <v>25.700000000000003</v>
      </c>
      <c r="N32" s="9" t="s">
        <v>17</v>
      </c>
      <c r="O32" s="9" t="s">
        <v>27</v>
      </c>
      <c r="P32" s="9" t="s">
        <v>71</v>
      </c>
      <c r="Q32" s="15">
        <v>17.100000000000001</v>
      </c>
      <c r="R32" s="41">
        <v>1.89</v>
      </c>
      <c r="S32" s="41">
        <v>1.6140051238257898</v>
      </c>
      <c r="T32" s="15">
        <v>5.2</v>
      </c>
      <c r="U32" s="15">
        <v>4.9000000000000004</v>
      </c>
      <c r="V32" s="18">
        <v>4.9000000000000004</v>
      </c>
      <c r="W32" s="15">
        <v>34.5</v>
      </c>
      <c r="X32" s="21"/>
      <c r="Y32" s="22"/>
      <c r="Z32" s="22"/>
    </row>
    <row r="33" spans="2:26" ht="16.5" thickBot="1" x14ac:dyDescent="0.3">
      <c r="B33" s="7">
        <v>29</v>
      </c>
      <c r="C33" s="8" t="s">
        <v>42</v>
      </c>
      <c r="D33" s="9">
        <v>500</v>
      </c>
      <c r="E33" s="9">
        <v>0</v>
      </c>
      <c r="F33" s="9">
        <v>0</v>
      </c>
      <c r="G33" s="9">
        <v>0</v>
      </c>
      <c r="H33" s="15">
        <v>0.4</v>
      </c>
      <c r="I33" s="15">
        <v>56.7</v>
      </c>
      <c r="J33" s="15">
        <v>442.9</v>
      </c>
      <c r="K33" s="15">
        <v>60</v>
      </c>
      <c r="L33" s="15">
        <v>29.5</v>
      </c>
      <c r="M33" s="15">
        <v>30.5</v>
      </c>
      <c r="N33" s="9" t="s">
        <v>17</v>
      </c>
      <c r="O33" s="9" t="s">
        <v>12</v>
      </c>
      <c r="P33" s="9" t="s">
        <v>97</v>
      </c>
      <c r="Q33" s="15">
        <v>24.4</v>
      </c>
      <c r="R33" s="41">
        <v>1.62</v>
      </c>
      <c r="S33" s="41">
        <v>1.302250803858521</v>
      </c>
      <c r="T33" s="15">
        <v>5.3</v>
      </c>
      <c r="U33" s="15">
        <v>4.3</v>
      </c>
      <c r="V33" s="18">
        <v>4.3</v>
      </c>
      <c r="W33" s="15">
        <v>49</v>
      </c>
      <c r="X33" s="21"/>
      <c r="Y33" s="22"/>
      <c r="Z33" s="22"/>
    </row>
    <row r="34" spans="2:26" ht="16.5" thickBot="1" x14ac:dyDescent="0.3">
      <c r="B34" s="7">
        <v>30</v>
      </c>
      <c r="C34" s="8" t="s">
        <v>43</v>
      </c>
      <c r="D34" s="9">
        <v>500</v>
      </c>
      <c r="E34" s="9">
        <v>0</v>
      </c>
      <c r="F34" s="9">
        <v>0</v>
      </c>
      <c r="G34" s="9">
        <v>0</v>
      </c>
      <c r="H34" s="15">
        <v>1.3</v>
      </c>
      <c r="I34" s="15">
        <v>79.8</v>
      </c>
      <c r="J34" s="15">
        <v>418.9</v>
      </c>
      <c r="K34" s="15">
        <v>64.2</v>
      </c>
      <c r="L34" s="15">
        <v>29</v>
      </c>
      <c r="M34" s="15">
        <v>35.200000000000003</v>
      </c>
      <c r="N34" s="9" t="s">
        <v>17</v>
      </c>
      <c r="O34" s="9" t="s">
        <v>12</v>
      </c>
      <c r="P34" s="9" t="s">
        <v>97</v>
      </c>
      <c r="Q34" s="15">
        <v>27.5</v>
      </c>
      <c r="R34" s="41">
        <v>1.89</v>
      </c>
      <c r="S34" s="41">
        <v>1.4823529411764707</v>
      </c>
      <c r="T34" s="17">
        <v>2.1</v>
      </c>
      <c r="U34" s="17">
        <v>1.8</v>
      </c>
      <c r="V34" s="18">
        <v>1.8</v>
      </c>
      <c r="W34" s="15">
        <v>77.5</v>
      </c>
      <c r="X34" s="21"/>
      <c r="Y34" s="22"/>
      <c r="Z34" s="22"/>
    </row>
    <row r="35" spans="2:26" ht="16.5" thickBot="1" x14ac:dyDescent="0.3">
      <c r="B35" s="7">
        <v>31</v>
      </c>
      <c r="C35" s="8" t="s">
        <v>44</v>
      </c>
      <c r="D35" s="9">
        <v>500</v>
      </c>
      <c r="E35" s="9">
        <v>0</v>
      </c>
      <c r="F35" s="9">
        <v>5.5</v>
      </c>
      <c r="G35" s="9">
        <v>6.5</v>
      </c>
      <c r="H35" s="15">
        <v>44.2</v>
      </c>
      <c r="I35" s="15">
        <v>213.7</v>
      </c>
      <c r="J35" s="15">
        <v>230.1</v>
      </c>
      <c r="K35" s="15">
        <v>30.2</v>
      </c>
      <c r="L35" s="15">
        <v>15.2</v>
      </c>
      <c r="M35" s="15">
        <v>15</v>
      </c>
      <c r="N35" s="9" t="s">
        <v>24</v>
      </c>
      <c r="O35" s="9" t="s">
        <v>25</v>
      </c>
      <c r="P35" s="9" t="s">
        <v>72</v>
      </c>
      <c r="Q35" s="15">
        <v>15.6</v>
      </c>
      <c r="R35" s="41">
        <v>1.91</v>
      </c>
      <c r="S35" s="41">
        <v>1.652249134948097</v>
      </c>
      <c r="T35" s="17">
        <v>7.9</v>
      </c>
      <c r="U35" s="15">
        <v>7</v>
      </c>
      <c r="V35" s="18">
        <v>7</v>
      </c>
      <c r="W35" s="15">
        <v>27.3</v>
      </c>
      <c r="X35" s="21"/>
      <c r="Y35" s="22"/>
      <c r="Z35" s="22"/>
    </row>
    <row r="36" spans="2:26" ht="16.5" thickBot="1" x14ac:dyDescent="0.3">
      <c r="B36" s="7">
        <v>32</v>
      </c>
      <c r="C36" s="8" t="s">
        <v>45</v>
      </c>
      <c r="D36" s="9">
        <v>500</v>
      </c>
      <c r="E36" s="9">
        <v>0</v>
      </c>
      <c r="F36" s="9">
        <v>0</v>
      </c>
      <c r="G36" s="9">
        <v>0</v>
      </c>
      <c r="H36" s="9">
        <v>0</v>
      </c>
      <c r="I36" s="15">
        <v>20.2</v>
      </c>
      <c r="J36" s="15">
        <v>479.8</v>
      </c>
      <c r="K36" s="15">
        <v>75</v>
      </c>
      <c r="L36" s="15">
        <v>35.5</v>
      </c>
      <c r="M36" s="15">
        <v>39.5</v>
      </c>
      <c r="N36" s="9" t="s">
        <v>6</v>
      </c>
      <c r="O36" s="9" t="s">
        <v>12</v>
      </c>
      <c r="P36" s="9" t="s">
        <v>97</v>
      </c>
      <c r="Q36" s="15">
        <v>31.2</v>
      </c>
      <c r="R36" s="41">
        <v>1.89</v>
      </c>
      <c r="S36" s="41">
        <v>1.4405487804878048</v>
      </c>
      <c r="T36" s="17">
        <v>4.0999999999999996</v>
      </c>
      <c r="U36" s="15">
        <v>3.4</v>
      </c>
      <c r="V36" s="18">
        <v>3.4</v>
      </c>
      <c r="W36" s="15">
        <v>56.5</v>
      </c>
      <c r="X36" s="21"/>
      <c r="Y36" s="22"/>
      <c r="Z36" s="22"/>
    </row>
    <row r="37" spans="2:26" ht="16.5" thickBot="1" x14ac:dyDescent="0.3">
      <c r="B37" s="7">
        <v>33</v>
      </c>
      <c r="C37" s="8" t="s">
        <v>46</v>
      </c>
      <c r="D37" s="9">
        <v>400</v>
      </c>
      <c r="E37" s="9">
        <v>0</v>
      </c>
      <c r="F37" s="9">
        <v>0</v>
      </c>
      <c r="G37" s="9">
        <v>0</v>
      </c>
      <c r="H37" s="9">
        <v>0</v>
      </c>
      <c r="I37" s="15">
        <v>40.6</v>
      </c>
      <c r="J37" s="15">
        <v>359.4</v>
      </c>
      <c r="K37" s="15">
        <v>52.9</v>
      </c>
      <c r="L37" s="15">
        <v>29.4</v>
      </c>
      <c r="M37" s="15">
        <v>23.5</v>
      </c>
      <c r="N37" s="9" t="s">
        <v>17</v>
      </c>
      <c r="O37" s="9" t="s">
        <v>12</v>
      </c>
      <c r="P37" s="9" t="s">
        <v>97</v>
      </c>
      <c r="Q37" s="15">
        <v>25.9</v>
      </c>
      <c r="R37" s="41">
        <v>1.9</v>
      </c>
      <c r="S37" s="41">
        <v>1.5091342335186657</v>
      </c>
      <c r="T37" s="17">
        <v>6.3</v>
      </c>
      <c r="U37" s="15">
        <v>6</v>
      </c>
      <c r="V37" s="18">
        <v>6</v>
      </c>
      <c r="W37" s="15">
        <v>33.5</v>
      </c>
      <c r="X37" s="21"/>
      <c r="Y37" s="22"/>
      <c r="Z37" s="22"/>
    </row>
    <row r="38" spans="2:26" ht="16.5" thickBot="1" x14ac:dyDescent="0.3">
      <c r="B38" s="7">
        <v>34</v>
      </c>
      <c r="C38" s="8" t="s">
        <v>47</v>
      </c>
      <c r="D38" s="9">
        <v>500</v>
      </c>
      <c r="E38" s="9">
        <v>0</v>
      </c>
      <c r="F38" s="9">
        <v>0</v>
      </c>
      <c r="G38" s="9">
        <v>0</v>
      </c>
      <c r="H38" s="9">
        <v>0</v>
      </c>
      <c r="I38" s="15">
        <v>34.299999999999997</v>
      </c>
      <c r="J38" s="15">
        <v>465.7</v>
      </c>
      <c r="K38" s="15">
        <v>57.3</v>
      </c>
      <c r="L38" s="15">
        <v>28.3</v>
      </c>
      <c r="M38" s="15">
        <v>28.999999999999996</v>
      </c>
      <c r="N38" s="9" t="s">
        <v>17</v>
      </c>
      <c r="O38" s="9" t="s">
        <v>12</v>
      </c>
      <c r="P38" s="9" t="s">
        <v>97</v>
      </c>
      <c r="Q38" s="15">
        <v>26.3</v>
      </c>
      <c r="R38" s="41">
        <v>1.88</v>
      </c>
      <c r="S38" s="41">
        <v>1.4885193982581155</v>
      </c>
      <c r="T38" s="15">
        <v>5.6</v>
      </c>
      <c r="U38" s="15">
        <v>4.4000000000000004</v>
      </c>
      <c r="V38" s="18">
        <v>4.4000000000000004</v>
      </c>
      <c r="W38" s="15">
        <v>51.8</v>
      </c>
      <c r="X38" s="21"/>
      <c r="Y38" s="22"/>
      <c r="Z38" s="22"/>
    </row>
    <row r="39" spans="2:26" ht="16.5" thickBot="1" x14ac:dyDescent="0.3">
      <c r="B39" s="7">
        <v>35</v>
      </c>
      <c r="C39" s="8" t="s">
        <v>48</v>
      </c>
      <c r="D39" s="9">
        <v>500</v>
      </c>
      <c r="E39" s="9">
        <v>0</v>
      </c>
      <c r="F39" s="9">
        <v>0</v>
      </c>
      <c r="G39" s="9">
        <v>0</v>
      </c>
      <c r="H39" s="9">
        <v>0</v>
      </c>
      <c r="I39" s="15">
        <v>15.6</v>
      </c>
      <c r="J39" s="15">
        <v>484.4</v>
      </c>
      <c r="K39" s="15">
        <v>71.099999999999994</v>
      </c>
      <c r="L39" s="15">
        <v>39.799999999999997</v>
      </c>
      <c r="M39" s="15">
        <v>31.299999999999997</v>
      </c>
      <c r="N39" s="9" t="s">
        <v>6</v>
      </c>
      <c r="O39" s="9" t="s">
        <v>49</v>
      </c>
      <c r="P39" s="9" t="s">
        <v>98</v>
      </c>
      <c r="Q39" s="15">
        <v>28.4</v>
      </c>
      <c r="R39" s="41">
        <v>1.79</v>
      </c>
      <c r="S39" s="41">
        <v>1.3940809968847352</v>
      </c>
      <c r="T39" s="15">
        <v>4.0999999999999996</v>
      </c>
      <c r="U39" s="15">
        <v>3.6</v>
      </c>
      <c r="V39" s="18">
        <v>3.6</v>
      </c>
      <c r="W39" s="15">
        <v>55.5</v>
      </c>
      <c r="X39" s="21"/>
      <c r="Y39" s="22"/>
      <c r="Z39" s="22"/>
    </row>
    <row r="40" spans="2:26" ht="16.5" thickBot="1" x14ac:dyDescent="0.3">
      <c r="B40" s="7">
        <v>36</v>
      </c>
      <c r="C40" s="8" t="s">
        <v>50</v>
      </c>
      <c r="D40" s="9">
        <v>500</v>
      </c>
      <c r="E40" s="9">
        <v>0</v>
      </c>
      <c r="F40" s="9">
        <v>0</v>
      </c>
      <c r="G40" s="9">
        <v>0</v>
      </c>
      <c r="H40" s="9">
        <v>0</v>
      </c>
      <c r="I40" s="15">
        <v>11.3</v>
      </c>
      <c r="J40" s="15">
        <v>488.7</v>
      </c>
      <c r="K40" s="15">
        <v>75.3</v>
      </c>
      <c r="L40" s="15">
        <v>33.1</v>
      </c>
      <c r="M40" s="15">
        <v>42.199999999999996</v>
      </c>
      <c r="N40" s="9" t="s">
        <v>6</v>
      </c>
      <c r="O40" s="9" t="s">
        <v>12</v>
      </c>
      <c r="P40" s="9" t="s">
        <v>97</v>
      </c>
      <c r="Q40" s="15">
        <v>29.7</v>
      </c>
      <c r="R40" s="41">
        <v>1.81</v>
      </c>
      <c r="S40" s="41">
        <v>1.3955281418658443</v>
      </c>
      <c r="T40" s="17">
        <v>5.9</v>
      </c>
      <c r="U40" s="15">
        <v>5</v>
      </c>
      <c r="V40" s="18">
        <v>5</v>
      </c>
      <c r="W40" s="15">
        <v>36.5</v>
      </c>
      <c r="X40" s="21"/>
      <c r="Y40" s="22"/>
      <c r="Z40" s="22"/>
    </row>
    <row r="41" spans="2:26" ht="16.5" thickBot="1" x14ac:dyDescent="0.3">
      <c r="B41" s="7">
        <v>37</v>
      </c>
      <c r="C41" s="8" t="s">
        <v>51</v>
      </c>
      <c r="D41" s="9">
        <v>500</v>
      </c>
      <c r="E41" s="9">
        <v>0</v>
      </c>
      <c r="F41" s="9">
        <v>0</v>
      </c>
      <c r="G41" s="9">
        <v>0</v>
      </c>
      <c r="H41" s="15">
        <v>2.1</v>
      </c>
      <c r="I41" s="15">
        <v>209.5</v>
      </c>
      <c r="J41" s="15">
        <v>288.39999999999998</v>
      </c>
      <c r="K41" s="15">
        <v>35.6</v>
      </c>
      <c r="L41" s="15">
        <v>29.1</v>
      </c>
      <c r="M41" s="15">
        <v>6.5</v>
      </c>
      <c r="N41" s="9" t="s">
        <v>52</v>
      </c>
      <c r="O41" s="9" t="s">
        <v>53</v>
      </c>
      <c r="P41" s="9" t="s">
        <v>99</v>
      </c>
      <c r="Q41" s="15">
        <v>29.7</v>
      </c>
      <c r="R41" s="41">
        <v>1.82</v>
      </c>
      <c r="S41" s="41">
        <v>1.4032382420971474</v>
      </c>
      <c r="T41" s="17">
        <v>4</v>
      </c>
      <c r="U41" s="17">
        <v>3.8</v>
      </c>
      <c r="V41" s="18">
        <v>3.8</v>
      </c>
      <c r="W41" s="15">
        <v>110</v>
      </c>
      <c r="X41" s="21"/>
      <c r="Y41" s="22"/>
      <c r="Z41" s="22"/>
    </row>
    <row r="42" spans="2:26" ht="16.5" thickBot="1" x14ac:dyDescent="0.3">
      <c r="B42" s="7">
        <v>38</v>
      </c>
      <c r="C42" s="8" t="s">
        <v>54</v>
      </c>
      <c r="D42" s="9">
        <v>500</v>
      </c>
      <c r="E42" s="9">
        <v>0</v>
      </c>
      <c r="F42" s="9">
        <v>0</v>
      </c>
      <c r="G42" s="9">
        <v>0.7</v>
      </c>
      <c r="H42" s="15">
        <v>2</v>
      </c>
      <c r="I42" s="15">
        <v>221.2</v>
      </c>
      <c r="J42" s="15">
        <v>276.10000000000002</v>
      </c>
      <c r="K42" s="15">
        <v>50.4</v>
      </c>
      <c r="L42" s="15">
        <v>18.7</v>
      </c>
      <c r="M42" s="15">
        <v>31.7</v>
      </c>
      <c r="N42" s="9" t="s">
        <v>17</v>
      </c>
      <c r="O42" s="9" t="s">
        <v>12</v>
      </c>
      <c r="P42" s="9" t="s">
        <v>97</v>
      </c>
      <c r="Q42" s="15">
        <v>27.1</v>
      </c>
      <c r="R42" s="41">
        <v>1.79</v>
      </c>
      <c r="S42" s="41">
        <v>1.4083398898505115</v>
      </c>
      <c r="T42" s="15">
        <v>3.4</v>
      </c>
      <c r="U42" s="15">
        <v>2.9</v>
      </c>
      <c r="V42" s="18">
        <v>2.9</v>
      </c>
      <c r="W42" s="15">
        <v>90</v>
      </c>
      <c r="X42" s="21"/>
      <c r="Y42" s="22"/>
      <c r="Z42" s="22"/>
    </row>
    <row r="43" spans="2:26" ht="16.5" thickBot="1" x14ac:dyDescent="0.3">
      <c r="B43" s="7">
        <v>39</v>
      </c>
      <c r="C43" s="8" t="s">
        <v>55</v>
      </c>
      <c r="D43" s="9">
        <v>500</v>
      </c>
      <c r="E43" s="9">
        <v>0</v>
      </c>
      <c r="F43" s="9">
        <v>0</v>
      </c>
      <c r="G43" s="9">
        <v>0.5</v>
      </c>
      <c r="H43" s="15">
        <v>1.3</v>
      </c>
      <c r="I43" s="15">
        <v>149</v>
      </c>
      <c r="J43" s="15">
        <v>349.2</v>
      </c>
      <c r="K43" s="15">
        <v>45.8</v>
      </c>
      <c r="L43" s="15">
        <v>18.7</v>
      </c>
      <c r="M43" s="15">
        <v>27.099999999999998</v>
      </c>
      <c r="N43" s="9" t="s">
        <v>17</v>
      </c>
      <c r="O43" s="9" t="s">
        <v>27</v>
      </c>
      <c r="P43" s="9" t="s">
        <v>71</v>
      </c>
      <c r="Q43" s="15">
        <v>19.8</v>
      </c>
      <c r="R43" s="41">
        <v>1.91</v>
      </c>
      <c r="S43" s="41">
        <v>1.5943238731218699</v>
      </c>
      <c r="T43" s="15">
        <v>6.6</v>
      </c>
      <c r="U43" s="15">
        <v>5.5</v>
      </c>
      <c r="V43" s="18">
        <v>5.5</v>
      </c>
      <c r="W43" s="15">
        <v>43</v>
      </c>
      <c r="X43" s="21"/>
      <c r="Y43" s="22"/>
      <c r="Z43" s="22"/>
    </row>
    <row r="44" spans="2:26" ht="16.5" thickBot="1" x14ac:dyDescent="0.3">
      <c r="B44" s="7">
        <v>40</v>
      </c>
      <c r="C44" s="8" t="s">
        <v>56</v>
      </c>
      <c r="D44" s="9">
        <v>500</v>
      </c>
      <c r="E44" s="9">
        <v>0</v>
      </c>
      <c r="F44" s="9">
        <v>0</v>
      </c>
      <c r="G44" s="9">
        <v>0</v>
      </c>
      <c r="H44" s="9">
        <v>0</v>
      </c>
      <c r="I44" s="15">
        <v>8.1</v>
      </c>
      <c r="J44" s="15">
        <v>491.9</v>
      </c>
      <c r="K44" s="15">
        <v>77</v>
      </c>
      <c r="L44" s="15">
        <v>22.2</v>
      </c>
      <c r="M44" s="15">
        <v>54.8</v>
      </c>
      <c r="N44" s="9" t="s">
        <v>17</v>
      </c>
      <c r="O44" s="9" t="s">
        <v>12</v>
      </c>
      <c r="P44" s="9" t="s">
        <v>97</v>
      </c>
      <c r="Q44" s="15">
        <v>27.9</v>
      </c>
      <c r="R44" s="41">
        <v>1.72</v>
      </c>
      <c r="S44" s="41">
        <v>1.3448006254886631</v>
      </c>
      <c r="T44" s="15">
        <v>3.5</v>
      </c>
      <c r="U44" s="15">
        <v>2.7</v>
      </c>
      <c r="V44" s="18">
        <v>2.7</v>
      </c>
      <c r="W44" s="15">
        <v>73.5</v>
      </c>
      <c r="X44" s="21"/>
      <c r="Y44" s="22"/>
      <c r="Z44" s="22"/>
    </row>
    <row r="45" spans="2:26" ht="16.5" thickBot="1" x14ac:dyDescent="0.3">
      <c r="B45" s="7">
        <v>41</v>
      </c>
      <c r="C45" s="8" t="s">
        <v>57</v>
      </c>
      <c r="D45" s="9">
        <v>200</v>
      </c>
      <c r="E45" s="9">
        <v>0</v>
      </c>
      <c r="F45" s="9">
        <v>0</v>
      </c>
      <c r="G45" s="9">
        <v>0</v>
      </c>
      <c r="H45" s="15">
        <v>0.3</v>
      </c>
      <c r="I45" s="15">
        <v>1.3</v>
      </c>
      <c r="J45" s="15">
        <v>198.4</v>
      </c>
      <c r="K45" s="15">
        <v>60.1</v>
      </c>
      <c r="L45" s="15">
        <v>53.8</v>
      </c>
      <c r="M45" s="15">
        <v>6.3000000000000043</v>
      </c>
      <c r="N45" s="9" t="s">
        <v>9</v>
      </c>
      <c r="O45" s="9" t="s">
        <v>10</v>
      </c>
      <c r="P45" s="9" t="s">
        <v>98</v>
      </c>
      <c r="Q45" s="15">
        <v>31.8</v>
      </c>
      <c r="R45" s="41">
        <v>1.81</v>
      </c>
      <c r="S45" s="41">
        <v>1.3732928679817906</v>
      </c>
      <c r="T45" s="15">
        <v>4.8</v>
      </c>
      <c r="U45" s="15">
        <v>4.4000000000000004</v>
      </c>
      <c r="V45" s="18">
        <v>4.4000000000000004</v>
      </c>
      <c r="W45" s="15">
        <v>38.5</v>
      </c>
      <c r="X45" s="21"/>
      <c r="Y45" s="22"/>
      <c r="Z45" s="22"/>
    </row>
    <row r="46" spans="2:26" ht="16.5" thickBot="1" x14ac:dyDescent="0.3">
      <c r="B46" s="7">
        <v>42</v>
      </c>
      <c r="C46" s="8" t="s">
        <v>58</v>
      </c>
      <c r="D46" s="9">
        <v>500</v>
      </c>
      <c r="E46" s="9">
        <v>0</v>
      </c>
      <c r="F46" s="9">
        <v>0</v>
      </c>
      <c r="G46" s="9">
        <v>0</v>
      </c>
      <c r="H46" s="15">
        <v>0.7</v>
      </c>
      <c r="I46" s="15">
        <v>2</v>
      </c>
      <c r="J46" s="15">
        <v>497.3</v>
      </c>
      <c r="K46" s="15">
        <v>59.3</v>
      </c>
      <c r="L46" s="15">
        <v>27.9</v>
      </c>
      <c r="M46" s="15">
        <v>31.4</v>
      </c>
      <c r="N46" s="9" t="s">
        <v>17</v>
      </c>
      <c r="O46" s="9" t="s">
        <v>12</v>
      </c>
      <c r="P46" s="9" t="s">
        <v>97</v>
      </c>
      <c r="Q46" s="15">
        <v>29.7</v>
      </c>
      <c r="R46" s="41">
        <v>1.92</v>
      </c>
      <c r="S46" s="41">
        <v>1.4803392444101773</v>
      </c>
      <c r="T46" s="15">
        <v>7.6</v>
      </c>
      <c r="U46" s="15">
        <v>7</v>
      </c>
      <c r="V46" s="18">
        <v>7</v>
      </c>
      <c r="W46" s="15">
        <v>32.9</v>
      </c>
      <c r="X46" s="21"/>
      <c r="Y46" s="22"/>
      <c r="Z46" s="22"/>
    </row>
    <row r="47" spans="2:26" ht="16.5" thickBot="1" x14ac:dyDescent="0.3">
      <c r="B47" s="7">
        <v>43</v>
      </c>
      <c r="C47" s="8" t="s">
        <v>59</v>
      </c>
      <c r="D47" s="9">
        <v>200</v>
      </c>
      <c r="E47" s="9">
        <v>0</v>
      </c>
      <c r="F47" s="9">
        <v>0</v>
      </c>
      <c r="G47" s="9">
        <v>0</v>
      </c>
      <c r="H47" s="15">
        <v>0.5</v>
      </c>
      <c r="I47" s="15">
        <v>4.5999999999999996</v>
      </c>
      <c r="J47" s="15">
        <v>194.9</v>
      </c>
      <c r="K47" s="15">
        <v>66.599999999999994</v>
      </c>
      <c r="L47" s="15">
        <v>41.5</v>
      </c>
      <c r="M47" s="15">
        <v>25.099999999999994</v>
      </c>
      <c r="N47" s="9" t="s">
        <v>6</v>
      </c>
      <c r="O47" s="9" t="s">
        <v>10</v>
      </c>
      <c r="P47" s="9" t="s">
        <v>98</v>
      </c>
      <c r="Q47" s="15">
        <v>44</v>
      </c>
      <c r="R47" s="41">
        <v>1.71</v>
      </c>
      <c r="S47" s="41">
        <v>1.1875</v>
      </c>
      <c r="T47" s="15">
        <v>4.9000000000000004</v>
      </c>
      <c r="U47" s="15">
        <v>3.7</v>
      </c>
      <c r="V47" s="18">
        <v>3.7</v>
      </c>
      <c r="W47" s="15">
        <v>48</v>
      </c>
      <c r="X47" s="21"/>
      <c r="Y47" s="22"/>
      <c r="Z47" s="22"/>
    </row>
    <row r="48" spans="2:26" ht="16.5" thickBot="1" x14ac:dyDescent="0.3">
      <c r="B48" s="7">
        <v>44</v>
      </c>
      <c r="C48" s="8" t="s">
        <v>60</v>
      </c>
      <c r="D48" s="9">
        <v>500</v>
      </c>
      <c r="E48" s="9">
        <v>0</v>
      </c>
      <c r="F48" s="9">
        <v>0</v>
      </c>
      <c r="G48" s="9">
        <v>0.2</v>
      </c>
      <c r="H48" s="15">
        <v>0.3</v>
      </c>
      <c r="I48" s="15">
        <v>5.6</v>
      </c>
      <c r="J48" s="15">
        <v>493.9</v>
      </c>
      <c r="K48" s="15">
        <v>70.400000000000006</v>
      </c>
      <c r="L48" s="15">
        <v>35.6</v>
      </c>
      <c r="M48" s="15">
        <v>34.800000000000004</v>
      </c>
      <c r="N48" s="9" t="s">
        <v>6</v>
      </c>
      <c r="O48" s="9" t="s">
        <v>49</v>
      </c>
      <c r="P48" s="9" t="s">
        <v>98</v>
      </c>
      <c r="Q48" s="15">
        <v>41.1</v>
      </c>
      <c r="R48" s="41">
        <v>1.69</v>
      </c>
      <c r="S48" s="41">
        <v>1.1977321048901488</v>
      </c>
      <c r="T48" s="15">
        <v>5.4</v>
      </c>
      <c r="U48" s="15">
        <v>4.4000000000000004</v>
      </c>
      <c r="V48" s="18">
        <v>4.4000000000000004</v>
      </c>
      <c r="W48" s="15">
        <v>53.5</v>
      </c>
      <c r="X48" s="21"/>
      <c r="Y48" s="22"/>
      <c r="Z48" s="22"/>
    </row>
    <row r="49" spans="2:26" ht="16.5" thickBot="1" x14ac:dyDescent="0.3">
      <c r="B49" s="7">
        <v>45</v>
      </c>
      <c r="C49" s="8" t="s">
        <v>61</v>
      </c>
      <c r="D49" s="9">
        <v>200</v>
      </c>
      <c r="E49" s="9">
        <v>0</v>
      </c>
      <c r="F49" s="9">
        <v>0</v>
      </c>
      <c r="G49" s="9">
        <v>0</v>
      </c>
      <c r="H49" s="15">
        <v>0.4</v>
      </c>
      <c r="I49" s="15">
        <v>1.3</v>
      </c>
      <c r="J49" s="15">
        <v>198.3</v>
      </c>
      <c r="K49" s="15">
        <v>63.2</v>
      </c>
      <c r="L49" s="15">
        <v>33.799999999999997</v>
      </c>
      <c r="M49" s="15">
        <v>29.400000000000006</v>
      </c>
      <c r="N49" s="9" t="s">
        <v>6</v>
      </c>
      <c r="O49" s="9" t="s">
        <v>10</v>
      </c>
      <c r="P49" s="9" t="s">
        <v>98</v>
      </c>
      <c r="Q49" s="15">
        <v>15.4</v>
      </c>
      <c r="R49" s="41">
        <v>1.89</v>
      </c>
      <c r="S49" s="41">
        <v>1.6377816291161178</v>
      </c>
      <c r="T49" s="15">
        <v>9.9</v>
      </c>
      <c r="U49" s="15">
        <v>8</v>
      </c>
      <c r="V49" s="18">
        <v>8</v>
      </c>
      <c r="W49" s="15">
        <v>32.5</v>
      </c>
      <c r="X49" s="21"/>
      <c r="Y49" s="22"/>
      <c r="Z49" s="22"/>
    </row>
    <row r="50" spans="2:26" ht="16.5" thickBot="1" x14ac:dyDescent="0.3">
      <c r="B50" s="7">
        <v>46</v>
      </c>
      <c r="C50" s="8" t="s">
        <v>62</v>
      </c>
      <c r="D50" s="9">
        <v>500</v>
      </c>
      <c r="E50" s="9">
        <v>0</v>
      </c>
      <c r="F50" s="9">
        <v>0</v>
      </c>
      <c r="G50" s="9">
        <v>0</v>
      </c>
      <c r="H50" s="15">
        <v>0.6</v>
      </c>
      <c r="I50" s="15">
        <v>9.8000000000000007</v>
      </c>
      <c r="J50" s="15">
        <v>489.6</v>
      </c>
      <c r="K50" s="15">
        <v>71.099999999999994</v>
      </c>
      <c r="L50" s="15">
        <v>39.799999999999997</v>
      </c>
      <c r="M50" s="15">
        <v>31.299999999999997</v>
      </c>
      <c r="N50" s="9" t="s">
        <v>6</v>
      </c>
      <c r="O50" s="9" t="s">
        <v>49</v>
      </c>
      <c r="P50" s="9" t="s">
        <v>98</v>
      </c>
      <c r="Q50" s="15">
        <v>26.1</v>
      </c>
      <c r="R50" s="41">
        <v>1.72</v>
      </c>
      <c r="S50" s="41">
        <v>1.3639968279143535</v>
      </c>
      <c r="T50" s="15">
        <v>6.2</v>
      </c>
      <c r="U50" s="15">
        <v>4.9000000000000004</v>
      </c>
      <c r="V50" s="18">
        <v>4.9000000000000004</v>
      </c>
      <c r="W50" s="15">
        <v>45.5</v>
      </c>
      <c r="X50" s="21"/>
      <c r="Y50" s="22"/>
      <c r="Z50" s="22"/>
    </row>
  </sheetData>
  <mergeCells count="7">
    <mergeCell ref="B2:B4"/>
    <mergeCell ref="D2:J2"/>
    <mergeCell ref="D3:D4"/>
    <mergeCell ref="W2:W3"/>
    <mergeCell ref="T2:V2"/>
    <mergeCell ref="T3:V3"/>
    <mergeCell ref="R2:S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workbookViewId="0"/>
  </sheetViews>
  <sheetFormatPr baseColWidth="10" defaultRowHeight="15" x14ac:dyDescent="0.25"/>
  <cols>
    <col min="2" max="3" width="18.42578125" bestFit="1" customWidth="1"/>
  </cols>
  <sheetData>
    <row r="2" spans="2:4" ht="15.75" x14ac:dyDescent="0.25">
      <c r="B2" s="29" t="s">
        <v>101</v>
      </c>
      <c r="C2" s="29" t="s">
        <v>102</v>
      </c>
      <c r="D2" s="29" t="s">
        <v>103</v>
      </c>
    </row>
    <row r="3" spans="2:4" ht="15.75" x14ac:dyDescent="0.25">
      <c r="B3" s="30" t="s">
        <v>95</v>
      </c>
      <c r="C3" s="30">
        <v>26</v>
      </c>
      <c r="D3" s="34">
        <f>C3/$C$8</f>
        <v>0.56521739130434778</v>
      </c>
    </row>
    <row r="4" spans="2:4" ht="15.75" x14ac:dyDescent="0.25">
      <c r="B4" s="31" t="s">
        <v>88</v>
      </c>
      <c r="C4" s="30">
        <v>4</v>
      </c>
      <c r="D4" s="34">
        <f>C4/$C$8</f>
        <v>8.6956521739130432E-2</v>
      </c>
    </row>
    <row r="5" spans="2:4" ht="15.75" x14ac:dyDescent="0.25">
      <c r="B5" s="31" t="s">
        <v>96</v>
      </c>
      <c r="C5" s="30">
        <v>13</v>
      </c>
      <c r="D5" s="34">
        <f>C5/$C$8</f>
        <v>0.28260869565217389</v>
      </c>
    </row>
    <row r="6" spans="2:4" ht="15.75" x14ac:dyDescent="0.25">
      <c r="B6" s="31" t="s">
        <v>100</v>
      </c>
      <c r="C6" s="30">
        <v>1</v>
      </c>
      <c r="D6" s="34">
        <f>C6/$C$8</f>
        <v>2.1739130434782608E-2</v>
      </c>
    </row>
    <row r="7" spans="2:4" ht="15.75" x14ac:dyDescent="0.25">
      <c r="B7" s="30" t="s">
        <v>89</v>
      </c>
      <c r="C7" s="30">
        <v>2</v>
      </c>
      <c r="D7" s="34">
        <f>C7/$C$8</f>
        <v>4.3478260869565216E-2</v>
      </c>
    </row>
    <row r="8" spans="2:4" ht="15.75" x14ac:dyDescent="0.25">
      <c r="B8" s="33" t="s">
        <v>83</v>
      </c>
      <c r="C8" s="32">
        <f>SUM(C3:C7)</f>
        <v>46</v>
      </c>
      <c r="D8" s="35">
        <f>SUM(D3:D7)</f>
        <v>0.99999999999999989</v>
      </c>
    </row>
    <row r="19" spans="2:3" ht="15.75" x14ac:dyDescent="0.25">
      <c r="B19" s="29" t="s">
        <v>104</v>
      </c>
      <c r="C19" s="29" t="s">
        <v>102</v>
      </c>
    </row>
    <row r="20" spans="2:3" ht="15.75" x14ac:dyDescent="0.25">
      <c r="B20" s="30" t="s">
        <v>82</v>
      </c>
      <c r="C20" s="30">
        <v>3</v>
      </c>
    </row>
    <row r="21" spans="2:3" ht="15.75" x14ac:dyDescent="0.25">
      <c r="B21" s="31" t="s">
        <v>84</v>
      </c>
      <c r="C21" s="30">
        <v>16</v>
      </c>
    </row>
    <row r="22" spans="2:3" ht="15.75" x14ac:dyDescent="0.25">
      <c r="B22" s="31" t="s">
        <v>85</v>
      </c>
      <c r="C22" s="30">
        <v>18</v>
      </c>
    </row>
    <row r="23" spans="2:3" ht="15.75" x14ac:dyDescent="0.25">
      <c r="B23" s="31" t="s">
        <v>86</v>
      </c>
      <c r="C23" s="30">
        <v>5</v>
      </c>
    </row>
    <row r="24" spans="2:3" ht="15.75" x14ac:dyDescent="0.25">
      <c r="B24" s="32" t="s">
        <v>87</v>
      </c>
      <c r="C24" s="32">
        <v>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topLeftCell="B1" workbookViewId="0">
      <selection activeCell="B1" sqref="B1"/>
    </sheetView>
  </sheetViews>
  <sheetFormatPr baseColWidth="10" defaultRowHeight="15" x14ac:dyDescent="0.25"/>
  <cols>
    <col min="4" max="4" width="12.7109375" bestFit="1" customWidth="1"/>
    <col min="5" max="8" width="12.28515625" customWidth="1"/>
    <col min="9" max="9" width="12.85546875" customWidth="1"/>
  </cols>
  <sheetData>
    <row r="1" spans="3:11" ht="15.75" thickBot="1" x14ac:dyDescent="0.3"/>
    <row r="2" spans="3:11" ht="15.75" thickBot="1" x14ac:dyDescent="0.3">
      <c r="C2" s="43" t="s">
        <v>79</v>
      </c>
      <c r="D2" s="36" t="s">
        <v>69</v>
      </c>
      <c r="E2" s="49" t="s">
        <v>116</v>
      </c>
      <c r="F2" s="40" t="s">
        <v>107</v>
      </c>
      <c r="G2" s="46" t="s">
        <v>112</v>
      </c>
      <c r="H2" s="58"/>
      <c r="I2" s="50" t="s">
        <v>118</v>
      </c>
      <c r="J2" s="43" t="s">
        <v>106</v>
      </c>
    </row>
    <row r="3" spans="3:11" ht="15.75" customHeight="1" thickBot="1" x14ac:dyDescent="0.3">
      <c r="C3" s="44"/>
      <c r="D3" s="2" t="s">
        <v>90</v>
      </c>
      <c r="E3" s="59"/>
      <c r="F3" s="27" t="s">
        <v>119</v>
      </c>
      <c r="G3" s="2" t="s">
        <v>110</v>
      </c>
      <c r="H3" s="5" t="s">
        <v>111</v>
      </c>
      <c r="I3" s="51"/>
      <c r="J3" s="45"/>
    </row>
    <row r="4" spans="3:11" ht="15.75" thickBot="1" x14ac:dyDescent="0.3">
      <c r="C4" s="45"/>
      <c r="D4" s="38" t="s">
        <v>105</v>
      </c>
      <c r="E4" s="60"/>
      <c r="F4" s="39" t="s">
        <v>120</v>
      </c>
      <c r="G4" s="39" t="s">
        <v>70</v>
      </c>
      <c r="H4" s="39" t="s">
        <v>70</v>
      </c>
      <c r="I4" s="28" t="s">
        <v>91</v>
      </c>
      <c r="J4" s="6" t="s">
        <v>94</v>
      </c>
    </row>
    <row r="5" spans="3:11" ht="15.75" thickBot="1" x14ac:dyDescent="0.3">
      <c r="C5" s="7">
        <v>1</v>
      </c>
      <c r="D5" s="9" t="s">
        <v>7</v>
      </c>
      <c r="E5" s="9" t="s">
        <v>97</v>
      </c>
      <c r="F5" s="9">
        <f>'Dataset Properties Soils'!Q5</f>
        <v>29</v>
      </c>
      <c r="G5" s="41">
        <f>'Dataset Properties Soils'!R5</f>
        <v>1.71</v>
      </c>
      <c r="H5" s="41">
        <f>'Dataset Properties Soils'!S5</f>
        <v>1.3255813953488371</v>
      </c>
      <c r="I5" s="15">
        <v>60</v>
      </c>
      <c r="J5" s="18">
        <v>2.8</v>
      </c>
      <c r="K5" s="22"/>
    </row>
    <row r="6" spans="3:11" ht="15.75" thickBot="1" x14ac:dyDescent="0.3">
      <c r="C6" s="7">
        <v>2</v>
      </c>
      <c r="D6" s="9" t="s">
        <v>10</v>
      </c>
      <c r="E6" s="9" t="s">
        <v>98</v>
      </c>
      <c r="F6" s="9">
        <f>'Dataset Properties Soils'!Q6</f>
        <v>15.1</v>
      </c>
      <c r="G6" s="41">
        <f>'Dataset Properties Soils'!R6</f>
        <v>1.91</v>
      </c>
      <c r="H6" s="41">
        <f>'Dataset Properties Soils'!S6</f>
        <v>1.6594265855777584</v>
      </c>
      <c r="I6" s="15">
        <v>22.5</v>
      </c>
      <c r="J6" s="18">
        <v>8.3000000000000007</v>
      </c>
      <c r="K6" s="22"/>
    </row>
    <row r="7" spans="3:11" ht="15.75" thickBot="1" x14ac:dyDescent="0.3">
      <c r="C7" s="7">
        <v>3</v>
      </c>
      <c r="D7" s="9" t="s">
        <v>12</v>
      </c>
      <c r="E7" s="9" t="s">
        <v>97</v>
      </c>
      <c r="F7" s="9">
        <f>'Dataset Properties Soils'!Q7</f>
        <v>21.3</v>
      </c>
      <c r="G7" s="41">
        <f>'Dataset Properties Soils'!R7</f>
        <v>1.87</v>
      </c>
      <c r="H7" s="41">
        <f>'Dataset Properties Soils'!S7</f>
        <v>1.5416323165704864</v>
      </c>
      <c r="I7" s="15">
        <v>78</v>
      </c>
      <c r="J7" s="18">
        <v>3</v>
      </c>
      <c r="K7" s="22"/>
    </row>
    <row r="8" spans="3:11" ht="15.75" thickBot="1" x14ac:dyDescent="0.3">
      <c r="C8" s="7">
        <v>4</v>
      </c>
      <c r="D8" s="9" t="s">
        <v>10</v>
      </c>
      <c r="E8" s="9" t="s">
        <v>98</v>
      </c>
      <c r="F8" s="9">
        <f>'Dataset Properties Soils'!Q8</f>
        <v>23.5</v>
      </c>
      <c r="G8" s="41">
        <f>'Dataset Properties Soils'!R8</f>
        <v>1.78</v>
      </c>
      <c r="H8" s="41">
        <f>'Dataset Properties Soils'!S8</f>
        <v>1.4412955465587045</v>
      </c>
      <c r="I8" s="15">
        <v>32.4</v>
      </c>
      <c r="J8" s="18">
        <v>7</v>
      </c>
      <c r="K8" s="22"/>
    </row>
    <row r="9" spans="3:11" ht="15.75" thickBot="1" x14ac:dyDescent="0.3">
      <c r="C9" s="7">
        <v>5</v>
      </c>
      <c r="D9" s="9" t="s">
        <v>7</v>
      </c>
      <c r="E9" s="9" t="s">
        <v>97</v>
      </c>
      <c r="F9" s="9">
        <f>'Dataset Properties Soils'!Q9</f>
        <v>37.6</v>
      </c>
      <c r="G9" s="41">
        <f>'Dataset Properties Soils'!R9</f>
        <v>1.79</v>
      </c>
      <c r="H9" s="41">
        <f>'Dataset Properties Soils'!S9</f>
        <v>1.300872093023256</v>
      </c>
      <c r="I9" s="15">
        <v>30.7</v>
      </c>
      <c r="J9" s="18">
        <v>5.2</v>
      </c>
      <c r="K9" s="22"/>
    </row>
    <row r="10" spans="3:11" ht="15.75" thickBot="1" x14ac:dyDescent="0.3">
      <c r="C10" s="7">
        <v>6</v>
      </c>
      <c r="D10" s="9" t="s">
        <v>10</v>
      </c>
      <c r="E10" s="9" t="s">
        <v>98</v>
      </c>
      <c r="F10" s="9">
        <f>'Dataset Properties Soils'!Q10</f>
        <v>35.5</v>
      </c>
      <c r="G10" s="41">
        <f>'Dataset Properties Soils'!R10</f>
        <v>1.8</v>
      </c>
      <c r="H10" s="41">
        <f>'Dataset Properties Soils'!S10</f>
        <v>1.3284132841328413</v>
      </c>
      <c r="I10" s="15">
        <v>74</v>
      </c>
      <c r="J10" s="18">
        <v>3.4</v>
      </c>
      <c r="K10" s="22"/>
    </row>
    <row r="11" spans="3:11" ht="15.75" thickBot="1" x14ac:dyDescent="0.3">
      <c r="C11" s="7">
        <v>7</v>
      </c>
      <c r="D11" s="9" t="s">
        <v>7</v>
      </c>
      <c r="E11" s="9" t="s">
        <v>97</v>
      </c>
      <c r="F11" s="9">
        <f>'Dataset Properties Soils'!Q11</f>
        <v>27.5</v>
      </c>
      <c r="G11" s="41">
        <f>'Dataset Properties Soils'!R11</f>
        <v>1.78</v>
      </c>
      <c r="H11" s="41">
        <f>'Dataset Properties Soils'!S11</f>
        <v>1.3960784313725492</v>
      </c>
      <c r="I11" s="15">
        <v>54.5</v>
      </c>
      <c r="J11" s="18">
        <v>2.7</v>
      </c>
      <c r="K11" s="22"/>
    </row>
    <row r="12" spans="3:11" ht="15.75" thickBot="1" x14ac:dyDescent="0.3">
      <c r="C12" s="7">
        <v>8</v>
      </c>
      <c r="D12" s="9" t="s">
        <v>10</v>
      </c>
      <c r="E12" s="9" t="s">
        <v>98</v>
      </c>
      <c r="F12" s="9">
        <f>'Dataset Properties Soils'!Q12</f>
        <v>27.5</v>
      </c>
      <c r="G12" s="41">
        <f>'Dataset Properties Soils'!R12</f>
        <v>1.79</v>
      </c>
      <c r="H12" s="41">
        <f>'Dataset Properties Soils'!S12</f>
        <v>1.4039215686274511</v>
      </c>
      <c r="I12" s="15">
        <v>72</v>
      </c>
      <c r="J12" s="18">
        <v>2.8</v>
      </c>
      <c r="K12" s="22"/>
    </row>
    <row r="13" spans="3:11" ht="15.75" thickBot="1" x14ac:dyDescent="0.3">
      <c r="C13" s="7">
        <v>9</v>
      </c>
      <c r="D13" s="9" t="s">
        <v>10</v>
      </c>
      <c r="E13" s="9" t="s">
        <v>98</v>
      </c>
      <c r="F13" s="9">
        <f>'Dataset Properties Soils'!Q13</f>
        <v>27.2</v>
      </c>
      <c r="G13" s="41">
        <f>'Dataset Properties Soils'!R13</f>
        <v>1.61</v>
      </c>
      <c r="H13" s="41">
        <f>'Dataset Properties Soils'!S13</f>
        <v>1.2657232704402517</v>
      </c>
      <c r="I13" s="15">
        <v>20.399999999999999</v>
      </c>
      <c r="J13" s="18">
        <v>4.8</v>
      </c>
      <c r="K13" s="22"/>
    </row>
    <row r="14" spans="3:11" ht="15.75" thickBot="1" x14ac:dyDescent="0.3">
      <c r="C14" s="7">
        <v>10</v>
      </c>
      <c r="D14" s="9" t="s">
        <v>12</v>
      </c>
      <c r="E14" s="9" t="s">
        <v>97</v>
      </c>
      <c r="F14" s="9">
        <f>'Dataset Properties Soils'!Q14</f>
        <v>36.700000000000003</v>
      </c>
      <c r="G14" s="41">
        <f>'Dataset Properties Soils'!R14</f>
        <v>1.81</v>
      </c>
      <c r="H14" s="41">
        <f>'Dataset Properties Soils'!S14</f>
        <v>1.3240673006583761</v>
      </c>
      <c r="I14" s="15">
        <v>120</v>
      </c>
      <c r="J14" s="18">
        <v>1.9</v>
      </c>
      <c r="K14" s="22"/>
    </row>
    <row r="15" spans="3:11" ht="15.75" thickBot="1" x14ac:dyDescent="0.3">
      <c r="C15" s="7">
        <v>11</v>
      </c>
      <c r="D15" s="9" t="s">
        <v>12</v>
      </c>
      <c r="E15" s="9" t="s">
        <v>97</v>
      </c>
      <c r="F15" s="9">
        <f>'Dataset Properties Soils'!Q15</f>
        <v>18.8</v>
      </c>
      <c r="G15" s="41">
        <f>'Dataset Properties Soils'!R15</f>
        <v>1.59</v>
      </c>
      <c r="H15" s="41">
        <f>'Dataset Properties Soils'!S15</f>
        <v>1.3383838383838385</v>
      </c>
      <c r="I15" s="15">
        <v>61.5</v>
      </c>
      <c r="J15" s="18">
        <v>3.4</v>
      </c>
      <c r="K15" s="22"/>
    </row>
    <row r="16" spans="3:11" ht="15.75" thickBot="1" x14ac:dyDescent="0.3">
      <c r="C16" s="7">
        <v>12</v>
      </c>
      <c r="D16" s="9" t="s">
        <v>12</v>
      </c>
      <c r="E16" s="9" t="s">
        <v>97</v>
      </c>
      <c r="F16" s="9">
        <f>'Dataset Properties Soils'!Q16</f>
        <v>19.3</v>
      </c>
      <c r="G16" s="41">
        <f>'Dataset Properties Soils'!R16</f>
        <v>2.09</v>
      </c>
      <c r="H16" s="41">
        <f>'Dataset Properties Soils'!S16</f>
        <v>1.7518860016764457</v>
      </c>
      <c r="I16" s="15">
        <v>43</v>
      </c>
      <c r="J16" s="18">
        <v>4.2</v>
      </c>
      <c r="K16" s="22"/>
    </row>
    <row r="17" spans="3:11" ht="15.75" thickBot="1" x14ac:dyDescent="0.3">
      <c r="C17" s="7">
        <v>13</v>
      </c>
      <c r="D17" s="9" t="s">
        <v>25</v>
      </c>
      <c r="E17" s="9" t="s">
        <v>72</v>
      </c>
      <c r="F17" s="9">
        <f>'Dataset Properties Soils'!Q17</f>
        <v>13.8</v>
      </c>
      <c r="G17" s="41">
        <f>'Dataset Properties Soils'!R17</f>
        <v>2.08</v>
      </c>
      <c r="H17" s="41">
        <f>'Dataset Properties Soils'!S17</f>
        <v>1.8277680140597541</v>
      </c>
      <c r="I17" s="15">
        <v>51.5</v>
      </c>
      <c r="J17" s="18">
        <v>4.3</v>
      </c>
      <c r="K17" s="22"/>
    </row>
    <row r="18" spans="3:11" ht="15.75" thickBot="1" x14ac:dyDescent="0.3">
      <c r="C18" s="7">
        <v>14</v>
      </c>
      <c r="D18" s="9" t="s">
        <v>27</v>
      </c>
      <c r="E18" s="9" t="s">
        <v>71</v>
      </c>
      <c r="F18" s="9">
        <f>'Dataset Properties Soils'!Q18</f>
        <v>13.1</v>
      </c>
      <c r="G18" s="41">
        <f>'Dataset Properties Soils'!R18</f>
        <v>1.99</v>
      </c>
      <c r="H18" s="41">
        <f>'Dataset Properties Soils'!S18</f>
        <v>1.7595048629531389</v>
      </c>
      <c r="I18" s="15">
        <v>34</v>
      </c>
      <c r="J18" s="18">
        <v>6</v>
      </c>
      <c r="K18" s="22"/>
    </row>
    <row r="19" spans="3:11" ht="15.75" thickBot="1" x14ac:dyDescent="0.3">
      <c r="C19" s="7">
        <v>15</v>
      </c>
      <c r="D19" s="9" t="s">
        <v>10</v>
      </c>
      <c r="E19" s="9" t="s">
        <v>98</v>
      </c>
      <c r="F19" s="9">
        <f>'Dataset Properties Soils'!Q19</f>
        <v>28.1</v>
      </c>
      <c r="G19" s="41">
        <f>'Dataset Properties Soils'!R19</f>
        <v>1.82</v>
      </c>
      <c r="H19" s="41">
        <f>'Dataset Properties Soils'!S19</f>
        <v>1.4207650273224042</v>
      </c>
      <c r="I19" s="15">
        <v>107.5</v>
      </c>
      <c r="J19" s="18">
        <v>2.6</v>
      </c>
      <c r="K19" s="22"/>
    </row>
    <row r="20" spans="3:11" ht="15.75" thickBot="1" x14ac:dyDescent="0.3">
      <c r="C20" s="7">
        <v>16</v>
      </c>
      <c r="D20" s="9" t="s">
        <v>12</v>
      </c>
      <c r="E20" s="9" t="s">
        <v>97</v>
      </c>
      <c r="F20" s="9">
        <f>'Dataset Properties Soils'!Q20</f>
        <v>26.3</v>
      </c>
      <c r="G20" s="41">
        <f>'Dataset Properties Soils'!R20</f>
        <v>1.81</v>
      </c>
      <c r="H20" s="41">
        <f>'Dataset Properties Soils'!S20</f>
        <v>1.4330958036421222</v>
      </c>
      <c r="I20" s="15">
        <v>55</v>
      </c>
      <c r="J20" s="18">
        <v>4</v>
      </c>
      <c r="K20" s="22"/>
    </row>
    <row r="21" spans="3:11" ht="15.75" thickBot="1" x14ac:dyDescent="0.3">
      <c r="C21" s="7">
        <v>17</v>
      </c>
      <c r="D21" s="9" t="s">
        <v>10</v>
      </c>
      <c r="E21" s="9" t="s">
        <v>98</v>
      </c>
      <c r="F21" s="9">
        <f>'Dataset Properties Soils'!Q21</f>
        <v>20.5</v>
      </c>
      <c r="G21" s="41">
        <f>'Dataset Properties Soils'!R21</f>
        <v>1.79</v>
      </c>
      <c r="H21" s="41">
        <f>'Dataset Properties Soils'!S21</f>
        <v>1.4854771784232366</v>
      </c>
      <c r="I21" s="15">
        <v>51.5</v>
      </c>
      <c r="J21" s="18">
        <v>5</v>
      </c>
      <c r="K21" s="22"/>
    </row>
    <row r="22" spans="3:11" ht="15.75" thickBot="1" x14ac:dyDescent="0.3">
      <c r="C22" s="7">
        <v>18</v>
      </c>
      <c r="D22" s="9" t="s">
        <v>12</v>
      </c>
      <c r="E22" s="9" t="s">
        <v>97</v>
      </c>
      <c r="F22" s="9">
        <f>'Dataset Properties Soils'!Q22</f>
        <v>26.2</v>
      </c>
      <c r="G22" s="41">
        <f>'Dataset Properties Soils'!R22</f>
        <v>2.09</v>
      </c>
      <c r="H22" s="41">
        <f>'Dataset Properties Soils'!S22</f>
        <v>1.6561014263074483</v>
      </c>
      <c r="I22" s="15">
        <v>37.6</v>
      </c>
      <c r="J22" s="18">
        <v>8.6999999999999993</v>
      </c>
      <c r="K22" s="22"/>
    </row>
    <row r="23" spans="3:11" ht="15.75" thickBot="1" x14ac:dyDescent="0.3">
      <c r="C23" s="7">
        <v>19</v>
      </c>
      <c r="D23" s="9" t="s">
        <v>7</v>
      </c>
      <c r="E23" s="9" t="s">
        <v>97</v>
      </c>
      <c r="F23" s="9">
        <f>'Dataset Properties Soils'!Q23</f>
        <v>30.8</v>
      </c>
      <c r="G23" s="41">
        <f>'Dataset Properties Soils'!R23</f>
        <v>1.81</v>
      </c>
      <c r="H23" s="41">
        <f>'Dataset Properties Soils'!S23</f>
        <v>1.3837920489296636</v>
      </c>
      <c r="I23" s="15">
        <v>62.5</v>
      </c>
      <c r="J23" s="18">
        <v>4.0999999999999996</v>
      </c>
      <c r="K23" s="22"/>
    </row>
    <row r="24" spans="3:11" ht="15.75" thickBot="1" x14ac:dyDescent="0.3">
      <c r="C24" s="7">
        <v>20</v>
      </c>
      <c r="D24" s="9" t="s">
        <v>27</v>
      </c>
      <c r="E24" s="9" t="s">
        <v>71</v>
      </c>
      <c r="F24" s="9">
        <f>'Dataset Properties Soils'!Q24</f>
        <v>26.8</v>
      </c>
      <c r="G24" s="41">
        <f>'Dataset Properties Soils'!R24</f>
        <v>1.62</v>
      </c>
      <c r="H24" s="41">
        <f>'Dataset Properties Soils'!S24</f>
        <v>1.277602523659306</v>
      </c>
      <c r="I24" s="15">
        <v>58</v>
      </c>
      <c r="J24" s="18">
        <v>3.8</v>
      </c>
      <c r="K24" s="22"/>
    </row>
    <row r="25" spans="3:11" ht="15.75" thickBot="1" x14ac:dyDescent="0.3">
      <c r="C25" s="7">
        <v>21</v>
      </c>
      <c r="D25" s="9" t="s">
        <v>12</v>
      </c>
      <c r="E25" s="9" t="s">
        <v>97</v>
      </c>
      <c r="F25" s="9">
        <f>'Dataset Properties Soils'!Q25</f>
        <v>23.6</v>
      </c>
      <c r="G25" s="41">
        <f>'Dataset Properties Soils'!R25</f>
        <v>2.1</v>
      </c>
      <c r="H25" s="41">
        <f>'Dataset Properties Soils'!S25</f>
        <v>1.6990291262135924</v>
      </c>
      <c r="I25" s="15">
        <v>71</v>
      </c>
      <c r="J25" s="18">
        <v>4</v>
      </c>
      <c r="K25" s="22"/>
    </row>
    <row r="26" spans="3:11" ht="15.75" thickBot="1" x14ac:dyDescent="0.3">
      <c r="C26" s="7">
        <v>22</v>
      </c>
      <c r="D26" s="9" t="s">
        <v>12</v>
      </c>
      <c r="E26" s="9" t="s">
        <v>97</v>
      </c>
      <c r="F26" s="9">
        <f>'Dataset Properties Soils'!Q26</f>
        <v>28.9</v>
      </c>
      <c r="G26" s="41">
        <f>'Dataset Properties Soils'!R26</f>
        <v>1.79</v>
      </c>
      <c r="H26" s="41">
        <f>'Dataset Properties Soils'!S26</f>
        <v>1.3886733902249808</v>
      </c>
      <c r="I26" s="15">
        <v>72.5</v>
      </c>
      <c r="J26" s="18">
        <v>2.8</v>
      </c>
      <c r="K26" s="22"/>
    </row>
    <row r="27" spans="3:11" ht="15.75" thickBot="1" x14ac:dyDescent="0.3">
      <c r="C27" s="7">
        <v>23</v>
      </c>
      <c r="D27" s="9" t="s">
        <v>12</v>
      </c>
      <c r="E27" s="9" t="s">
        <v>97</v>
      </c>
      <c r="F27" s="9">
        <f>'Dataset Properties Soils'!Q27</f>
        <v>24.6</v>
      </c>
      <c r="G27" s="41">
        <f>'Dataset Properties Soils'!R27</f>
        <v>1.59</v>
      </c>
      <c r="H27" s="41">
        <f>'Dataset Properties Soils'!S27</f>
        <v>1.2760834670947032</v>
      </c>
      <c r="I27" s="15">
        <v>46</v>
      </c>
      <c r="J27" s="18">
        <v>8.8000000000000007</v>
      </c>
      <c r="K27" s="22"/>
    </row>
    <row r="28" spans="3:11" ht="15.75" thickBot="1" x14ac:dyDescent="0.3">
      <c r="C28" s="12">
        <v>24</v>
      </c>
      <c r="D28" s="14" t="s">
        <v>12</v>
      </c>
      <c r="E28" s="9" t="s">
        <v>97</v>
      </c>
      <c r="F28" s="9">
        <f>'Dataset Properties Soils'!Q28</f>
        <v>23.6</v>
      </c>
      <c r="G28" s="41">
        <f>'Dataset Properties Soils'!R28</f>
        <v>2.02</v>
      </c>
      <c r="H28" s="41">
        <f>'Dataset Properties Soils'!S28</f>
        <v>1.6343042071197411</v>
      </c>
      <c r="I28" s="16">
        <v>48.5</v>
      </c>
      <c r="J28" s="19">
        <v>4.5</v>
      </c>
      <c r="K28" s="22"/>
    </row>
    <row r="29" spans="3:11" ht="15.75" thickBot="1" x14ac:dyDescent="0.3">
      <c r="C29" s="7">
        <v>25</v>
      </c>
      <c r="D29" s="9" t="s">
        <v>12</v>
      </c>
      <c r="E29" s="9" t="s">
        <v>97</v>
      </c>
      <c r="F29" s="9">
        <f>'Dataset Properties Soils'!Q29</f>
        <v>19.100000000000001</v>
      </c>
      <c r="G29" s="41">
        <f>'Dataset Properties Soils'!R29</f>
        <v>1.71</v>
      </c>
      <c r="H29" s="41">
        <f>'Dataset Properties Soils'!S29</f>
        <v>1.4357682619647354</v>
      </c>
      <c r="I29" s="15">
        <v>95</v>
      </c>
      <c r="J29" s="18">
        <v>1.6</v>
      </c>
      <c r="K29" s="22"/>
    </row>
    <row r="30" spans="3:11" ht="15.75" thickBot="1" x14ac:dyDescent="0.3">
      <c r="C30" s="7">
        <v>26</v>
      </c>
      <c r="D30" s="9" t="s">
        <v>12</v>
      </c>
      <c r="E30" s="9" t="s">
        <v>97</v>
      </c>
      <c r="F30" s="9">
        <f>'Dataset Properties Soils'!Q30</f>
        <v>16.399999999999999</v>
      </c>
      <c r="G30" s="41">
        <f>'Dataset Properties Soils'!R30</f>
        <v>1.52</v>
      </c>
      <c r="H30" s="41">
        <f>'Dataset Properties Soils'!S30</f>
        <v>1.3058419243986255</v>
      </c>
      <c r="I30" s="15">
        <v>45</v>
      </c>
      <c r="J30" s="18">
        <v>4.0999999999999996</v>
      </c>
      <c r="K30" s="22"/>
    </row>
    <row r="31" spans="3:11" ht="15.75" thickBot="1" x14ac:dyDescent="0.3">
      <c r="C31" s="7">
        <v>27</v>
      </c>
      <c r="D31" s="9" t="s">
        <v>12</v>
      </c>
      <c r="E31" s="9" t="s">
        <v>97</v>
      </c>
      <c r="F31" s="9">
        <f>'Dataset Properties Soils'!Q31</f>
        <v>18.8</v>
      </c>
      <c r="G31" s="41">
        <f>'Dataset Properties Soils'!R31</f>
        <v>2.21</v>
      </c>
      <c r="H31" s="41">
        <f>'Dataset Properties Soils'!S31</f>
        <v>1.8602693602693603</v>
      </c>
      <c r="I31" s="15">
        <v>72</v>
      </c>
      <c r="J31" s="18">
        <v>3.1</v>
      </c>
      <c r="K31" s="22"/>
    </row>
    <row r="32" spans="3:11" ht="15.75" thickBot="1" x14ac:dyDescent="0.3">
      <c r="C32" s="7">
        <v>28</v>
      </c>
      <c r="D32" s="9" t="s">
        <v>27</v>
      </c>
      <c r="E32" s="9" t="s">
        <v>71</v>
      </c>
      <c r="F32" s="9">
        <f>'Dataset Properties Soils'!Q32</f>
        <v>17.100000000000001</v>
      </c>
      <c r="G32" s="41">
        <f>'Dataset Properties Soils'!R32</f>
        <v>1.89</v>
      </c>
      <c r="H32" s="41">
        <f>'Dataset Properties Soils'!S32</f>
        <v>1.6140051238257898</v>
      </c>
      <c r="I32" s="15">
        <v>34.5</v>
      </c>
      <c r="J32" s="18">
        <v>4.9000000000000004</v>
      </c>
      <c r="K32" s="22"/>
    </row>
    <row r="33" spans="3:11" ht="15.75" thickBot="1" x14ac:dyDescent="0.3">
      <c r="C33" s="7">
        <v>29</v>
      </c>
      <c r="D33" s="9" t="s">
        <v>12</v>
      </c>
      <c r="E33" s="9" t="s">
        <v>97</v>
      </c>
      <c r="F33" s="9">
        <f>'Dataset Properties Soils'!Q33</f>
        <v>24.4</v>
      </c>
      <c r="G33" s="41">
        <f>'Dataset Properties Soils'!R33</f>
        <v>1.62</v>
      </c>
      <c r="H33" s="41">
        <f>'Dataset Properties Soils'!S33</f>
        <v>1.302250803858521</v>
      </c>
      <c r="I33" s="15">
        <v>49</v>
      </c>
      <c r="J33" s="18">
        <v>4.3</v>
      </c>
      <c r="K33" s="22"/>
    </row>
    <row r="34" spans="3:11" ht="15.75" thickBot="1" x14ac:dyDescent="0.3">
      <c r="C34" s="7">
        <v>30</v>
      </c>
      <c r="D34" s="9" t="s">
        <v>12</v>
      </c>
      <c r="E34" s="9" t="s">
        <v>97</v>
      </c>
      <c r="F34" s="9">
        <f>'Dataset Properties Soils'!Q34</f>
        <v>27.5</v>
      </c>
      <c r="G34" s="41">
        <f>'Dataset Properties Soils'!R34</f>
        <v>1.89</v>
      </c>
      <c r="H34" s="41">
        <f>'Dataset Properties Soils'!S34</f>
        <v>1.4823529411764707</v>
      </c>
      <c r="I34" s="15">
        <v>77.5</v>
      </c>
      <c r="J34" s="18">
        <v>1.8</v>
      </c>
      <c r="K34" s="22"/>
    </row>
    <row r="35" spans="3:11" ht="15.75" thickBot="1" x14ac:dyDescent="0.3">
      <c r="C35" s="7">
        <v>31</v>
      </c>
      <c r="D35" s="9" t="s">
        <v>25</v>
      </c>
      <c r="E35" s="9" t="s">
        <v>72</v>
      </c>
      <c r="F35" s="9">
        <f>'Dataset Properties Soils'!Q35</f>
        <v>15.6</v>
      </c>
      <c r="G35" s="41">
        <f>'Dataset Properties Soils'!R35</f>
        <v>1.91</v>
      </c>
      <c r="H35" s="41">
        <f>'Dataset Properties Soils'!S35</f>
        <v>1.652249134948097</v>
      </c>
      <c r="I35" s="15">
        <v>27.3</v>
      </c>
      <c r="J35" s="18">
        <v>7</v>
      </c>
      <c r="K35" s="22"/>
    </row>
    <row r="36" spans="3:11" ht="15.75" thickBot="1" x14ac:dyDescent="0.3">
      <c r="C36" s="7">
        <v>32</v>
      </c>
      <c r="D36" s="9" t="s">
        <v>12</v>
      </c>
      <c r="E36" s="9" t="s">
        <v>97</v>
      </c>
      <c r="F36" s="9">
        <f>'Dataset Properties Soils'!Q36</f>
        <v>31.2</v>
      </c>
      <c r="G36" s="41">
        <f>'Dataset Properties Soils'!R36</f>
        <v>1.89</v>
      </c>
      <c r="H36" s="41">
        <f>'Dataset Properties Soils'!S36</f>
        <v>1.4405487804878048</v>
      </c>
      <c r="I36" s="15">
        <v>56.5</v>
      </c>
      <c r="J36" s="18">
        <v>3.4</v>
      </c>
      <c r="K36" s="22"/>
    </row>
    <row r="37" spans="3:11" ht="15.75" thickBot="1" x14ac:dyDescent="0.3">
      <c r="C37" s="7">
        <v>33</v>
      </c>
      <c r="D37" s="9" t="s">
        <v>12</v>
      </c>
      <c r="E37" s="9" t="s">
        <v>97</v>
      </c>
      <c r="F37" s="9">
        <f>'Dataset Properties Soils'!Q37</f>
        <v>25.9</v>
      </c>
      <c r="G37" s="41">
        <f>'Dataset Properties Soils'!R37</f>
        <v>1.9</v>
      </c>
      <c r="H37" s="41">
        <f>'Dataset Properties Soils'!S37</f>
        <v>1.5091342335186657</v>
      </c>
      <c r="I37" s="15">
        <v>33.5</v>
      </c>
      <c r="J37" s="18">
        <v>6</v>
      </c>
      <c r="K37" s="22"/>
    </row>
    <row r="38" spans="3:11" ht="15.75" thickBot="1" x14ac:dyDescent="0.3">
      <c r="C38" s="7">
        <v>34</v>
      </c>
      <c r="D38" s="9" t="s">
        <v>12</v>
      </c>
      <c r="E38" s="9" t="s">
        <v>97</v>
      </c>
      <c r="F38" s="9">
        <f>'Dataset Properties Soils'!Q38</f>
        <v>26.3</v>
      </c>
      <c r="G38" s="41">
        <f>'Dataset Properties Soils'!R38</f>
        <v>1.88</v>
      </c>
      <c r="H38" s="41">
        <f>'Dataset Properties Soils'!S38</f>
        <v>1.4885193982581155</v>
      </c>
      <c r="I38" s="15">
        <v>51.8</v>
      </c>
      <c r="J38" s="18">
        <v>4.4000000000000004</v>
      </c>
      <c r="K38" s="22"/>
    </row>
    <row r="39" spans="3:11" ht="15.75" thickBot="1" x14ac:dyDescent="0.3">
      <c r="C39" s="7">
        <v>35</v>
      </c>
      <c r="D39" s="9" t="s">
        <v>49</v>
      </c>
      <c r="E39" s="9" t="s">
        <v>98</v>
      </c>
      <c r="F39" s="9">
        <f>'Dataset Properties Soils'!Q39</f>
        <v>28.4</v>
      </c>
      <c r="G39" s="41">
        <f>'Dataset Properties Soils'!R39</f>
        <v>1.79</v>
      </c>
      <c r="H39" s="41">
        <f>'Dataset Properties Soils'!S39</f>
        <v>1.3940809968847352</v>
      </c>
      <c r="I39" s="15">
        <v>55.5</v>
      </c>
      <c r="J39" s="18">
        <v>3.6</v>
      </c>
      <c r="K39" s="22"/>
    </row>
    <row r="40" spans="3:11" ht="15.75" thickBot="1" x14ac:dyDescent="0.3">
      <c r="C40" s="7">
        <v>36</v>
      </c>
      <c r="D40" s="9" t="s">
        <v>12</v>
      </c>
      <c r="E40" s="9" t="s">
        <v>97</v>
      </c>
      <c r="F40" s="9">
        <f>'Dataset Properties Soils'!Q40</f>
        <v>29.7</v>
      </c>
      <c r="G40" s="41">
        <f>'Dataset Properties Soils'!R40</f>
        <v>1.81</v>
      </c>
      <c r="H40" s="41">
        <f>'Dataset Properties Soils'!S40</f>
        <v>1.3955281418658443</v>
      </c>
      <c r="I40" s="15">
        <v>36.5</v>
      </c>
      <c r="J40" s="18">
        <v>5</v>
      </c>
      <c r="K40" s="22"/>
    </row>
    <row r="41" spans="3:11" ht="15.75" thickBot="1" x14ac:dyDescent="0.3">
      <c r="C41" s="7">
        <v>37</v>
      </c>
      <c r="D41" s="9" t="s">
        <v>53</v>
      </c>
      <c r="E41" s="9" t="s">
        <v>99</v>
      </c>
      <c r="F41" s="9">
        <f>'Dataset Properties Soils'!Q41</f>
        <v>29.7</v>
      </c>
      <c r="G41" s="41">
        <f>'Dataset Properties Soils'!R41</f>
        <v>1.82</v>
      </c>
      <c r="H41" s="41">
        <f>'Dataset Properties Soils'!S41</f>
        <v>1.4032382420971474</v>
      </c>
      <c r="I41" s="15">
        <v>110</v>
      </c>
      <c r="J41" s="18">
        <v>3.8</v>
      </c>
      <c r="K41" s="22"/>
    </row>
    <row r="42" spans="3:11" ht="15.75" thickBot="1" x14ac:dyDescent="0.3">
      <c r="C42" s="7">
        <v>38</v>
      </c>
      <c r="D42" s="9" t="s">
        <v>12</v>
      </c>
      <c r="E42" s="9" t="s">
        <v>97</v>
      </c>
      <c r="F42" s="9">
        <f>'Dataset Properties Soils'!Q42</f>
        <v>27.1</v>
      </c>
      <c r="G42" s="41">
        <f>'Dataset Properties Soils'!R42</f>
        <v>1.79</v>
      </c>
      <c r="H42" s="41">
        <f>'Dataset Properties Soils'!S42</f>
        <v>1.4083398898505115</v>
      </c>
      <c r="I42" s="15">
        <v>90</v>
      </c>
      <c r="J42" s="18">
        <v>2.9</v>
      </c>
      <c r="K42" s="22"/>
    </row>
    <row r="43" spans="3:11" ht="15.75" thickBot="1" x14ac:dyDescent="0.3">
      <c r="C43" s="7">
        <v>39</v>
      </c>
      <c r="D43" s="9" t="s">
        <v>27</v>
      </c>
      <c r="E43" s="9" t="s">
        <v>71</v>
      </c>
      <c r="F43" s="9">
        <f>'Dataset Properties Soils'!Q43</f>
        <v>19.8</v>
      </c>
      <c r="G43" s="41">
        <f>'Dataset Properties Soils'!R43</f>
        <v>1.91</v>
      </c>
      <c r="H43" s="41">
        <f>'Dataset Properties Soils'!S43</f>
        <v>1.5943238731218699</v>
      </c>
      <c r="I43" s="15">
        <v>43</v>
      </c>
      <c r="J43" s="18">
        <v>5.5</v>
      </c>
      <c r="K43" s="22"/>
    </row>
    <row r="44" spans="3:11" ht="15.75" thickBot="1" x14ac:dyDescent="0.3">
      <c r="C44" s="7">
        <v>40</v>
      </c>
      <c r="D44" s="9" t="s">
        <v>12</v>
      </c>
      <c r="E44" s="9" t="s">
        <v>97</v>
      </c>
      <c r="F44" s="9">
        <f>'Dataset Properties Soils'!Q44</f>
        <v>27.9</v>
      </c>
      <c r="G44" s="41">
        <f>'Dataset Properties Soils'!R44</f>
        <v>1.72</v>
      </c>
      <c r="H44" s="41">
        <f>'Dataset Properties Soils'!S44</f>
        <v>1.3448006254886631</v>
      </c>
      <c r="I44" s="15">
        <v>73.5</v>
      </c>
      <c r="J44" s="18">
        <v>2.7</v>
      </c>
      <c r="K44" s="22"/>
    </row>
    <row r="45" spans="3:11" ht="15.75" thickBot="1" x14ac:dyDescent="0.3">
      <c r="C45" s="7">
        <v>41</v>
      </c>
      <c r="D45" s="9" t="s">
        <v>10</v>
      </c>
      <c r="E45" s="9" t="s">
        <v>98</v>
      </c>
      <c r="F45" s="9">
        <f>'Dataset Properties Soils'!Q45</f>
        <v>31.8</v>
      </c>
      <c r="G45" s="41">
        <f>'Dataset Properties Soils'!R45</f>
        <v>1.81</v>
      </c>
      <c r="H45" s="41">
        <f>'Dataset Properties Soils'!S45</f>
        <v>1.3732928679817906</v>
      </c>
      <c r="I45" s="15">
        <v>38.5</v>
      </c>
      <c r="J45" s="18">
        <v>4.4000000000000004</v>
      </c>
      <c r="K45" s="22"/>
    </row>
    <row r="46" spans="3:11" ht="15.75" thickBot="1" x14ac:dyDescent="0.3">
      <c r="C46" s="7">
        <v>42</v>
      </c>
      <c r="D46" s="9" t="s">
        <v>12</v>
      </c>
      <c r="E46" s="9" t="s">
        <v>97</v>
      </c>
      <c r="F46" s="9">
        <f>'Dataset Properties Soils'!Q46</f>
        <v>29.7</v>
      </c>
      <c r="G46" s="41">
        <f>'Dataset Properties Soils'!R46</f>
        <v>1.92</v>
      </c>
      <c r="H46" s="41">
        <f>'Dataset Properties Soils'!S46</f>
        <v>1.4803392444101773</v>
      </c>
      <c r="I46" s="15">
        <v>32.9</v>
      </c>
      <c r="J46" s="18">
        <v>7</v>
      </c>
      <c r="K46" s="22"/>
    </row>
    <row r="47" spans="3:11" ht="15.75" thickBot="1" x14ac:dyDescent="0.3">
      <c r="C47" s="7">
        <v>43</v>
      </c>
      <c r="D47" s="9" t="s">
        <v>10</v>
      </c>
      <c r="E47" s="9" t="s">
        <v>98</v>
      </c>
      <c r="F47" s="9">
        <f>'Dataset Properties Soils'!Q47</f>
        <v>44</v>
      </c>
      <c r="G47" s="41">
        <f>'Dataset Properties Soils'!R47</f>
        <v>1.71</v>
      </c>
      <c r="H47" s="41">
        <f>'Dataset Properties Soils'!S47</f>
        <v>1.1875</v>
      </c>
      <c r="I47" s="15">
        <v>48</v>
      </c>
      <c r="J47" s="18">
        <v>3.7</v>
      </c>
      <c r="K47" s="22"/>
    </row>
    <row r="48" spans="3:11" ht="15.75" thickBot="1" x14ac:dyDescent="0.3">
      <c r="C48" s="7">
        <v>44</v>
      </c>
      <c r="D48" s="9" t="s">
        <v>49</v>
      </c>
      <c r="E48" s="9" t="s">
        <v>98</v>
      </c>
      <c r="F48" s="9">
        <f>'Dataset Properties Soils'!Q48</f>
        <v>41.1</v>
      </c>
      <c r="G48" s="41">
        <f>'Dataset Properties Soils'!R48</f>
        <v>1.69</v>
      </c>
      <c r="H48" s="41">
        <f>'Dataset Properties Soils'!S48</f>
        <v>1.1977321048901488</v>
      </c>
      <c r="I48" s="15">
        <v>53.5</v>
      </c>
      <c r="J48" s="18">
        <v>4.4000000000000004</v>
      </c>
      <c r="K48" s="22"/>
    </row>
    <row r="49" spans="3:11" ht="15.75" thickBot="1" x14ac:dyDescent="0.3">
      <c r="C49" s="7">
        <v>45</v>
      </c>
      <c r="D49" s="9" t="s">
        <v>10</v>
      </c>
      <c r="E49" s="9" t="s">
        <v>98</v>
      </c>
      <c r="F49" s="9">
        <f>'Dataset Properties Soils'!Q49</f>
        <v>15.4</v>
      </c>
      <c r="G49" s="41">
        <f>'Dataset Properties Soils'!R49</f>
        <v>1.89</v>
      </c>
      <c r="H49" s="41">
        <f>'Dataset Properties Soils'!S49</f>
        <v>1.6377816291161178</v>
      </c>
      <c r="I49" s="15">
        <v>32.5</v>
      </c>
      <c r="J49" s="18">
        <v>8</v>
      </c>
      <c r="K49" s="22"/>
    </row>
    <row r="50" spans="3:11" ht="15.75" thickBot="1" x14ac:dyDescent="0.3">
      <c r="C50" s="7">
        <v>46</v>
      </c>
      <c r="D50" s="9" t="s">
        <v>49</v>
      </c>
      <c r="E50" s="9" t="s">
        <v>98</v>
      </c>
      <c r="F50" s="9">
        <f>'Dataset Properties Soils'!Q50</f>
        <v>26.1</v>
      </c>
      <c r="G50" s="41">
        <f>'Dataset Properties Soils'!R50</f>
        <v>1.72</v>
      </c>
      <c r="H50" s="41">
        <f>'Dataset Properties Soils'!S50</f>
        <v>1.3639968279143535</v>
      </c>
      <c r="I50" s="15">
        <v>45.5</v>
      </c>
      <c r="J50" s="18">
        <v>4.9000000000000004</v>
      </c>
      <c r="K50" s="22"/>
    </row>
  </sheetData>
  <mergeCells count="5">
    <mergeCell ref="C2:C4"/>
    <mergeCell ref="I2:I3"/>
    <mergeCell ref="J2:J3"/>
    <mergeCell ref="E2:E4"/>
    <mergeCell ref="G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 Properties Soils</vt:lpstr>
      <vt:lpstr>Tables and Charts</vt:lpstr>
      <vt:lpstr>Summary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2019-08-22T18:56:22Z</dcterms:created>
  <dcterms:modified xsi:type="dcterms:W3CDTF">2020-07-22T19:56:05Z</dcterms:modified>
</cp:coreProperties>
</file>